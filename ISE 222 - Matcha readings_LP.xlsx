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gya/Downloads/"/>
    </mc:Choice>
  </mc:AlternateContent>
  <xr:revisionPtr revIDLastSave="0" documentId="8_{3004EBA8-DE9F-F04E-B699-26EEAEBCA2FE}" xr6:coauthVersionLast="47" xr6:coauthVersionMax="47" xr10:uidLastSave="{00000000-0000-0000-0000-000000000000}"/>
  <bookViews>
    <workbookView xWindow="0" yWindow="740" windowWidth="30240" windowHeight="18900" activeTab="2" xr2:uid="{6CE6D914-93DF-CC4D-AD61-CE02789006FA}"/>
  </bookViews>
  <sheets>
    <sheet name="Robot" sheetId="1" r:id="rId1"/>
    <sheet name="Human" sheetId="2" r:id="rId2"/>
    <sheet name="LP" sheetId="3" r:id="rId3"/>
  </sheets>
  <definedNames>
    <definedName name="solver_adj" localSheetId="2" hidden="1">LP!$B$12:$B$13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itr" localSheetId="2" hidden="1">2147483647</definedName>
    <definedName name="solver_lhs1" localSheetId="2" hidden="1">LP!$B$12</definedName>
    <definedName name="solver_lhs2" localSheetId="2" hidden="1">LP!$B$12</definedName>
    <definedName name="solver_lhs3" localSheetId="2" hidden="1">LP!$B$13</definedName>
    <definedName name="solver_lhs4" localSheetId="2" hidden="1">LP!$B$13</definedName>
    <definedName name="solver_lhs5" localSheetId="2" hidden="1">LP!$B$14</definedName>
    <definedName name="solver_lhs6" localSheetId="2" hidden="1">LP!$F$4</definedName>
    <definedName name="solver_lin" localSheetId="2" hidden="1">1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6</definedName>
    <definedName name="solver_opt" localSheetId="2" hidden="1">LP!$B$16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3</definedName>
    <definedName name="solver_rel3" localSheetId="2" hidden="1">1</definedName>
    <definedName name="solver_rel4" localSheetId="2" hidden="1">3</definedName>
    <definedName name="solver_rel5" localSheetId="2" hidden="1">3</definedName>
    <definedName name="solver_rel6" localSheetId="2" hidden="1">3</definedName>
    <definedName name="solver_rhs1" localSheetId="2" hidden="1">LP!$B$6</definedName>
    <definedName name="solver_rhs2" localSheetId="2" hidden="1">0</definedName>
    <definedName name="solver_rhs3" localSheetId="2" hidden="1">LP!$B$7</definedName>
    <definedName name="solver_rhs4" localSheetId="2" hidden="1">0</definedName>
    <definedName name="solver_rhs5" localSheetId="2" hidden="1">LP!$B$2</definedName>
    <definedName name="solver_rhs6" localSheetId="2" hidden="1">0</definedName>
    <definedName name="solver_rlx" localSheetId="2" hidden="1">1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2" l="1"/>
  <c r="F43" i="1"/>
  <c r="F42" i="1"/>
  <c r="B14" i="3" l="1"/>
  <c r="F4" i="3"/>
  <c r="B16" i="3"/>
</calcChain>
</file>

<file path=xl/sharedStrings.xml><?xml version="1.0" encoding="utf-8"?>
<sst xmlns="http://schemas.openxmlformats.org/spreadsheetml/2006/main" count="285" uniqueCount="85">
  <si>
    <t>matcha</t>
  </si>
  <si>
    <t>1tsp</t>
  </si>
  <si>
    <t>12cm</t>
  </si>
  <si>
    <t>6cm</t>
  </si>
  <si>
    <t>big bowl diameter</t>
  </si>
  <si>
    <t>shot glass - pragya</t>
  </si>
  <si>
    <t>small bowl diameter</t>
  </si>
  <si>
    <t>5cm - from top right to bottom left</t>
  </si>
  <si>
    <t>4cm - side</t>
  </si>
  <si>
    <t xml:space="preserve">time interval </t>
  </si>
  <si>
    <t>2 mins</t>
  </si>
  <si>
    <t xml:space="preserve">turn on </t>
  </si>
  <si>
    <t>test the gripper</t>
  </si>
  <si>
    <t>waypoint</t>
  </si>
  <si>
    <t>linear</t>
  </si>
  <si>
    <t>Trial</t>
  </si>
  <si>
    <t>Matcha Weight</t>
  </si>
  <si>
    <t>Whisk time</t>
  </si>
  <si>
    <t xml:space="preserve">Foam </t>
  </si>
  <si>
    <t>1 tsp</t>
  </si>
  <si>
    <t>Total time</t>
  </si>
  <si>
    <t>2 tsp</t>
  </si>
  <si>
    <t>Whisk no</t>
  </si>
  <si>
    <t>2tsp</t>
  </si>
  <si>
    <t>Temp Boiling Water</t>
  </si>
  <si>
    <t>speed</t>
  </si>
  <si>
    <t>whisk speed</t>
  </si>
  <si>
    <t>between each iteration 120 seconds</t>
  </si>
  <si>
    <t>bubbles seen</t>
  </si>
  <si>
    <t>Observations</t>
  </si>
  <si>
    <t>Stop and mix when there is 2 mina break</t>
  </si>
  <si>
    <t>1 min</t>
  </si>
  <si>
    <t>3tsp</t>
  </si>
  <si>
    <t>3 tsp</t>
  </si>
  <si>
    <t>Macha Consistency</t>
  </si>
  <si>
    <t>Thin and Consistent</t>
  </si>
  <si>
    <t>Water</t>
  </si>
  <si>
    <t>60ml</t>
  </si>
  <si>
    <t>20ml</t>
  </si>
  <si>
    <t>lumps</t>
  </si>
  <si>
    <t>30ml</t>
  </si>
  <si>
    <t>perfect consistency</t>
  </si>
  <si>
    <t>40ml</t>
  </si>
  <si>
    <t xml:space="preserve">Break time </t>
  </si>
  <si>
    <t>uniform consistency</t>
  </si>
  <si>
    <t>Water Temperature</t>
  </si>
  <si>
    <t>Foam</t>
  </si>
  <si>
    <t>Break time</t>
  </si>
  <si>
    <t>50ml</t>
  </si>
  <si>
    <t>Liquid consistency</t>
  </si>
  <si>
    <t>Decision Variables</t>
  </si>
  <si>
    <t>Parameters</t>
  </si>
  <si>
    <t>D = total demand ( # cups to be made)</t>
  </si>
  <si>
    <r>
      <t>Q</t>
    </r>
    <r>
      <rPr>
        <vertAlign val="subscript"/>
        <sz val="12"/>
        <color theme="1"/>
        <rFont val="Arial"/>
        <family val="2"/>
      </rPr>
      <t>min</t>
    </r>
    <r>
      <rPr>
        <sz val="12"/>
        <color theme="1"/>
        <rFont val="Arial"/>
        <family val="2"/>
      </rPr>
      <t xml:space="preserve"> = minimum acceptable quality</t>
    </r>
  </si>
  <si>
    <r>
      <t>C</t>
    </r>
    <r>
      <rPr>
        <vertAlign val="subscript"/>
        <sz val="12"/>
        <color theme="1"/>
        <rFont val="Arial"/>
        <family val="2"/>
      </rPr>
      <t xml:space="preserve">r </t>
    </r>
    <r>
      <rPr>
        <sz val="12"/>
        <color theme="1"/>
        <rFont val="Arial"/>
        <family val="2"/>
      </rPr>
      <t>= robot capacity</t>
    </r>
  </si>
  <si>
    <r>
      <t>C</t>
    </r>
    <r>
      <rPr>
        <vertAlign val="subscript"/>
        <sz val="12"/>
        <color theme="1"/>
        <rFont val="Arial"/>
        <family val="2"/>
      </rPr>
      <t>h</t>
    </r>
    <r>
      <rPr>
        <sz val="12"/>
        <color theme="1"/>
        <rFont val="Arial"/>
        <family val="2"/>
      </rPr>
      <t>= barista capacity</t>
    </r>
  </si>
  <si>
    <t xml:space="preserve">Quality </t>
  </si>
  <si>
    <r>
      <t>q</t>
    </r>
    <r>
      <rPr>
        <vertAlign val="subscript"/>
        <sz val="12"/>
        <color theme="1"/>
        <rFont val="Arial"/>
        <family val="2"/>
      </rPr>
      <t>r</t>
    </r>
    <r>
      <rPr>
        <sz val="12"/>
        <color theme="1"/>
        <rFont val="Arial"/>
        <family val="2"/>
      </rPr>
      <t>= foam quality for robot</t>
    </r>
  </si>
  <si>
    <r>
      <t>q</t>
    </r>
    <r>
      <rPr>
        <vertAlign val="subscript"/>
        <sz val="12"/>
        <color theme="1"/>
        <rFont val="Arial"/>
        <family val="2"/>
      </rPr>
      <t>h</t>
    </r>
    <r>
      <rPr>
        <sz val="12"/>
        <color theme="1"/>
        <rFont val="Arial"/>
        <family val="2"/>
      </rPr>
      <t xml:space="preserve"> = foam quality for human</t>
    </r>
  </si>
  <si>
    <t>weighted average for quality to get a quality score and to minimise no of cups made by humans</t>
  </si>
  <si>
    <r>
      <t>t</t>
    </r>
    <r>
      <rPr>
        <vertAlign val="subscript"/>
        <sz val="12"/>
        <color theme="1"/>
        <rFont val="Arial"/>
        <family val="2"/>
      </rPr>
      <t xml:space="preserve">r </t>
    </r>
    <r>
      <rPr>
        <sz val="12"/>
        <color theme="1"/>
        <rFont val="Arial"/>
        <family val="2"/>
      </rPr>
      <t>= average time per robot cup (in sec)</t>
    </r>
  </si>
  <si>
    <r>
      <t>t</t>
    </r>
    <r>
      <rPr>
        <vertAlign val="subscript"/>
        <sz val="12"/>
        <color theme="1"/>
        <rFont val="Arial"/>
        <family val="2"/>
      </rPr>
      <t>h</t>
    </r>
    <r>
      <rPr>
        <sz val="12"/>
        <color theme="1"/>
        <rFont val="Arial"/>
        <family val="2"/>
      </rPr>
      <t>= average time per human cup (in sec)</t>
    </r>
  </si>
  <si>
    <t xml:space="preserve">Objective Function Z </t>
  </si>
  <si>
    <r>
      <t>X</t>
    </r>
    <r>
      <rPr>
        <vertAlign val="subscript"/>
        <sz val="12"/>
        <color theme="1"/>
        <rFont val="Arial"/>
        <family val="2"/>
      </rPr>
      <t>r</t>
    </r>
    <r>
      <rPr>
        <sz val="12"/>
        <color theme="1"/>
        <rFont val="Arial"/>
        <family val="2"/>
      </rPr>
      <t xml:space="preserve"> = # cups prepared by robot</t>
    </r>
  </si>
  <si>
    <r>
      <t>X</t>
    </r>
    <r>
      <rPr>
        <vertAlign val="subscript"/>
        <sz val="12"/>
        <color theme="1"/>
        <rFont val="Arial"/>
        <family val="2"/>
      </rPr>
      <t>h</t>
    </r>
    <r>
      <rPr>
        <sz val="12"/>
        <color theme="1"/>
        <rFont val="Arial"/>
        <family val="2"/>
      </rPr>
      <t xml:space="preserve"> = # cups prepared by human</t>
    </r>
  </si>
  <si>
    <t># cups human + robot</t>
  </si>
  <si>
    <r>
      <t>X</t>
    </r>
    <r>
      <rPr>
        <vertAlign val="subscript"/>
        <sz val="12"/>
        <color theme="1"/>
        <rFont val="Aptos Narrow (Body)"/>
      </rPr>
      <t>r</t>
    </r>
    <r>
      <rPr>
        <sz val="12"/>
        <color theme="1"/>
        <rFont val="Aptos Narrow"/>
        <family val="2"/>
        <scheme val="minor"/>
      </rPr>
      <t xml:space="preserve">, </t>
    </r>
  </si>
  <si>
    <r>
      <t>X</t>
    </r>
    <r>
      <rPr>
        <vertAlign val="subscript"/>
        <sz val="12"/>
        <color theme="1"/>
        <rFont val="Aptos Narrow (Body)"/>
      </rPr>
      <t>r</t>
    </r>
    <r>
      <rPr>
        <sz val="12"/>
        <color theme="1"/>
        <rFont val="Aptos Narrow"/>
        <family val="2"/>
        <scheme val="minor"/>
      </rPr>
      <t xml:space="preserve"> , X</t>
    </r>
    <r>
      <rPr>
        <vertAlign val="subscript"/>
        <sz val="12"/>
        <color theme="1"/>
        <rFont val="Aptos Narrow (Body)"/>
      </rPr>
      <t xml:space="preserve">h </t>
    </r>
  </si>
  <si>
    <t>Average</t>
  </si>
  <si>
    <t>Student</t>
  </si>
  <si>
    <t>Human Observations</t>
  </si>
  <si>
    <t>Nivrithi</t>
  </si>
  <si>
    <t>tired of hand work : whisking</t>
  </si>
  <si>
    <t>not so goood - very liquid</t>
  </si>
  <si>
    <t>35 secons</t>
  </si>
  <si>
    <t>1min</t>
  </si>
  <si>
    <t>consistent</t>
  </si>
  <si>
    <t>35 seconds</t>
  </si>
  <si>
    <t>Aarti</t>
  </si>
  <si>
    <t>tired hand work</t>
  </si>
  <si>
    <t>thin and consistent</t>
  </si>
  <si>
    <t>Kritika</t>
  </si>
  <si>
    <t>110 secs</t>
  </si>
  <si>
    <t>Yashaswini</t>
  </si>
  <si>
    <t>Pragya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</si>
</sst>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rial"/>
      <family val="2"/>
    </font>
    <font>
      <sz val="12"/>
      <color theme="1"/>
      <name val="Aptos Narrow"/>
      <scheme val="minor"/>
    </font>
    <font>
      <vertAlign val="subscript"/>
      <sz val="12"/>
      <color theme="1"/>
      <name val="Arial"/>
      <family val="2"/>
    </font>
    <font>
      <vertAlign val="subscript"/>
      <sz val="12"/>
      <color theme="1"/>
      <name val="Aptos Narrow (Body)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0" xfId="0" applyFont="1"/>
    <xf numFmtId="20" fontId="4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2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482600</xdr:colOff>
      <xdr:row>17</xdr:row>
      <xdr:rowOff>146050</xdr:rowOff>
    </xdr:from>
    <xdr:ext cx="2972611" cy="79375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04E2723-EE23-9165-35DD-C2AEFCD55002}"/>
                </a:ext>
              </a:extLst>
            </xdr:cNvPr>
            <xdr:cNvSpPr txBox="1"/>
          </xdr:nvSpPr>
          <xdr:spPr>
            <a:xfrm>
              <a:off x="6718300" y="3600450"/>
              <a:ext cx="2972611" cy="793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US" sz="16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𝑞</m:t>
                      </m:r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𝑟</m:t>
                      </m:r>
                      <m:r>
                        <m:rPr>
                          <m:nor/>
                        </m:rPr>
                        <a:rPr lang="en-US" sz="1600" b="0"/>
                        <m:t>*</m:t>
                      </m:r>
                      <m:r>
                        <m:rPr>
                          <m:nor/>
                        </m:rPr>
                        <a:rPr lang="en-US" sz="1600" b="0"/>
                        <m:t>Xr</m:t>
                      </m:r>
                      <m:r>
                        <m:rPr>
                          <m:nor/>
                        </m:rPr>
                        <a:rPr lang="en-US" sz="1600" b="0"/>
                        <m:t> +</m:t>
                      </m:r>
                      <m:r>
                        <m:rPr>
                          <m:nor/>
                        </m:rPr>
                        <a:rPr lang="en-US" sz="1600" b="0"/>
                        <m:t>qh</m:t>
                      </m:r>
                      <m:r>
                        <m:rPr>
                          <m:nor/>
                        </m:rPr>
                        <a:rPr lang="en-US" sz="1600" b="0"/>
                        <m:t> *</m:t>
                      </m:r>
                      <m:r>
                        <m:rPr>
                          <m:nor/>
                        </m:rPr>
                        <a:rPr lang="en-US" sz="1600" b="0"/>
                        <m:t>Xh</m:t>
                      </m:r>
                    </m:num>
                    <m:den>
                      <m:eqArr>
                        <m:eqArrPr>
                          <m:ctrlPr>
                            <a:rPr lang="en-US" sz="1600" b="0" i="1">
                              <a:latin typeface="Cambria Math" panose="02040503050406030204" pitchFamily="18" charset="0"/>
                            </a:rPr>
                          </m:ctrlPr>
                        </m:eqArrPr>
                        <m:e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𝑋𝑟</m:t>
                          </m:r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+</m:t>
                          </m:r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𝑋h</m:t>
                          </m:r>
                        </m:e>
                        <m:e/>
                      </m:eqArr>
                    </m:den>
                  </m:f>
                </m:oMath>
              </a14:m>
              <a:r>
                <a:rPr lang="en-US" sz="1600" b="0"/>
                <a:t>  </a:t>
              </a:r>
              <a14:m>
                <m:oMath xmlns:m="http://schemas.openxmlformats.org/officeDocument/2006/math">
                  <m:r>
                    <a:rPr lang="en-US" sz="16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≥ </m:t>
                  </m:r>
                </m:oMath>
              </a14:m>
              <a:r>
                <a:rPr lang="en-US" sz="1600" b="0"/>
                <a:t>Qmin</a:t>
              </a:r>
            </a:p>
            <a:p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04E2723-EE23-9165-35DD-C2AEFCD55002}"/>
                </a:ext>
              </a:extLst>
            </xdr:cNvPr>
            <xdr:cNvSpPr txBox="1"/>
          </xdr:nvSpPr>
          <xdr:spPr>
            <a:xfrm>
              <a:off x="6718300" y="3600450"/>
              <a:ext cx="2972611" cy="7937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𝑞𝑟"</a:t>
              </a:r>
              <a:r>
                <a:rPr lang="en-US" sz="1600" b="0" i="0"/>
                <a:t>*Xr +qh *Xh</a:t>
              </a:r>
              <a:r>
                <a:rPr lang="en-US" sz="1600" b="0" i="0">
                  <a:latin typeface="Cambria Math" panose="02040503050406030204" pitchFamily="18" charset="0"/>
                </a:rPr>
                <a:t>" /█(𝑋𝑟+𝑋ℎ@)</a:t>
              </a:r>
              <a:r>
                <a:rPr lang="en-US" sz="1600" b="0"/>
                <a:t>  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 </a:t>
              </a:r>
              <a:r>
                <a:rPr lang="en-US" sz="1600" b="0"/>
                <a:t>Qmin</a:t>
              </a:r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107950</xdr:colOff>
      <xdr:row>27</xdr:row>
      <xdr:rowOff>69850</xdr:rowOff>
    </xdr:from>
    <xdr:ext cx="1543050" cy="4248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95EDFC6-D6CB-8258-EC9A-2E232F66EFBF}"/>
                </a:ext>
              </a:extLst>
            </xdr:cNvPr>
            <xdr:cNvSpPr txBox="1"/>
          </xdr:nvSpPr>
          <xdr:spPr>
            <a:xfrm>
              <a:off x="8820150" y="5810250"/>
              <a:ext cx="1543050" cy="4248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m:rPr>
                      <m:nor/>
                    </m:rPr>
                    <a:rPr lang="en-US" sz="1600" b="0" i="0" u="none" strike="noStrike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X</m:t>
                  </m:r>
                  <m:r>
                    <m:rPr>
                      <m:nor/>
                    </m:rPr>
                    <a:rPr lang="en-US" sz="1600" b="0" i="0" u="none" strike="noStrike" baseline="-2500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r</m:t>
                  </m:r>
                  <m:r>
                    <m:rPr>
                      <m:nor/>
                    </m:rPr>
                    <a:rPr lang="en-US" sz="1600" b="0" i="0" u="none" strike="noStrike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, </m:t>
                  </m:r>
                  <m:r>
                    <m:rPr>
                      <m:nor/>
                    </m:rPr>
                    <a:rPr lang="en-US" sz="1600" b="0" i="0" u="none" strike="noStrike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Xh</m:t>
                  </m:r>
                  <m:r>
                    <m:rPr>
                      <m:nor/>
                    </m:rPr>
                    <a:rPr lang="en-US" sz="1600" b="0" i="0" u="none" strike="noStrike" baseline="-2500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r>
                    <m:rPr>
                      <m:nor/>
                    </m:rPr>
                    <a:rPr lang="en-US" sz="1600">
                      <a:effectLst/>
                    </a:rPr>
                    <m:t> </m:t>
                  </m:r>
                  <m:r>
                    <a:rPr lang="en-US" sz="1600" i="1"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≥</m:t>
                  </m:r>
                  <m:r>
                    <a:rPr lang="en-US" sz="1600" b="0" i="1"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1600">
                  <a:effectLst/>
                </a:rPr>
                <a:t>0 </a:t>
              </a:r>
            </a:p>
            <a:p>
              <a:endParaRPr 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95EDFC6-D6CB-8258-EC9A-2E232F66EFBF}"/>
                </a:ext>
              </a:extLst>
            </xdr:cNvPr>
            <xdr:cNvSpPr txBox="1"/>
          </xdr:nvSpPr>
          <xdr:spPr>
            <a:xfrm>
              <a:off x="8820150" y="5810250"/>
              <a:ext cx="1543050" cy="4248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6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"X</a:t>
              </a:r>
              <a:r>
                <a:rPr lang="en-US" sz="1600" b="0" i="0" u="none" strike="noStrike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r</a:t>
              </a:r>
              <a:r>
                <a:rPr lang="en-US" sz="16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, X</a:t>
              </a:r>
              <a:r>
                <a:rPr lang="en-US" sz="1600" b="0" i="0" u="none" strike="noStrike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h </a:t>
              </a:r>
              <a:r>
                <a:rPr lang="en-US" sz="1600" i="0">
                  <a:effectLst/>
                  <a:latin typeface="Cambria Math" panose="02040503050406030204" pitchFamily="18" charset="0"/>
                </a:rPr>
                <a:t> 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"≥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600">
                  <a:effectLst/>
                </a:rPr>
                <a:t>0 </a:t>
              </a:r>
            </a:p>
            <a:p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38F3-0E93-7844-AC86-D50448EE23F5}">
  <dimension ref="A1:O48"/>
  <sheetViews>
    <sheetView workbookViewId="0">
      <selection activeCell="A6" sqref="A6:O41"/>
    </sheetView>
  </sheetViews>
  <sheetFormatPr baseColWidth="10" defaultRowHeight="16" x14ac:dyDescent="0.2"/>
  <cols>
    <col min="1" max="1" width="10.83203125" style="4"/>
    <col min="2" max="2" width="10.83203125" style="6"/>
    <col min="3" max="3" width="25.5" style="6" customWidth="1"/>
    <col min="4" max="4" width="16.6640625" style="4" customWidth="1"/>
    <col min="5" max="5" width="18.33203125" style="4" customWidth="1"/>
    <col min="6" max="6" width="28" style="4" customWidth="1"/>
    <col min="7" max="7" width="10.83203125" style="4"/>
    <col min="8" max="8" width="20.1640625" style="4" customWidth="1"/>
    <col min="9" max="11" width="10.83203125" style="4"/>
    <col min="12" max="12" width="16" style="4" customWidth="1"/>
    <col min="13" max="13" width="18.6640625" style="4" customWidth="1"/>
    <col min="14" max="14" width="43.1640625" style="4" customWidth="1"/>
    <col min="15" max="16384" width="10.83203125" style="4"/>
  </cols>
  <sheetData>
    <row r="1" spans="1:15" x14ac:dyDescent="0.2">
      <c r="A1" s="4" t="s">
        <v>0</v>
      </c>
      <c r="D1" s="4" t="s">
        <v>4</v>
      </c>
      <c r="E1" s="4" t="s">
        <v>6</v>
      </c>
      <c r="F1" s="4" t="s">
        <v>5</v>
      </c>
      <c r="G1" s="4" t="s">
        <v>9</v>
      </c>
    </row>
    <row r="2" spans="1:15" x14ac:dyDescent="0.2">
      <c r="A2" s="4" t="s">
        <v>1</v>
      </c>
      <c r="D2" s="4" t="s">
        <v>2</v>
      </c>
      <c r="E2" s="4" t="s">
        <v>3</v>
      </c>
      <c r="F2" s="4" t="s">
        <v>7</v>
      </c>
      <c r="G2" s="4" t="s">
        <v>10</v>
      </c>
      <c r="H2" s="4" t="s">
        <v>11</v>
      </c>
    </row>
    <row r="3" spans="1:15" x14ac:dyDescent="0.2">
      <c r="F3" s="4" t="s">
        <v>8</v>
      </c>
      <c r="H3" s="4" t="s">
        <v>12</v>
      </c>
      <c r="L3" s="5" t="s">
        <v>27</v>
      </c>
      <c r="M3" s="5"/>
    </row>
    <row r="4" spans="1:15" x14ac:dyDescent="0.2">
      <c r="H4" s="4" t="s">
        <v>13</v>
      </c>
      <c r="I4" s="4" t="s">
        <v>14</v>
      </c>
    </row>
    <row r="6" spans="1:15" x14ac:dyDescent="0.2">
      <c r="A6" s="2" t="s">
        <v>15</v>
      </c>
      <c r="B6" s="2" t="s">
        <v>36</v>
      </c>
      <c r="C6" s="2" t="s">
        <v>45</v>
      </c>
      <c r="D6" s="2" t="s">
        <v>16</v>
      </c>
      <c r="E6" s="2" t="s">
        <v>17</v>
      </c>
      <c r="F6" s="2" t="s">
        <v>20</v>
      </c>
      <c r="G6" s="2" t="s">
        <v>22</v>
      </c>
      <c r="H6" s="2" t="s">
        <v>24</v>
      </c>
      <c r="I6" s="2" t="s">
        <v>18</v>
      </c>
      <c r="J6" s="2" t="s">
        <v>25</v>
      </c>
      <c r="K6" s="2" t="s">
        <v>26</v>
      </c>
      <c r="L6" s="2" t="s">
        <v>29</v>
      </c>
      <c r="M6" s="2" t="s">
        <v>34</v>
      </c>
      <c r="N6" s="2" t="s">
        <v>30</v>
      </c>
      <c r="O6" s="2" t="s">
        <v>43</v>
      </c>
    </row>
    <row r="7" spans="1:15" x14ac:dyDescent="0.2">
      <c r="A7" s="1">
        <v>1</v>
      </c>
      <c r="B7" s="17" t="s">
        <v>37</v>
      </c>
      <c r="C7" s="3"/>
      <c r="D7" s="17" t="s">
        <v>19</v>
      </c>
      <c r="E7" s="17">
        <v>10</v>
      </c>
      <c r="F7" s="18">
        <v>6.1805555555555558E-2</v>
      </c>
      <c r="G7" s="17">
        <v>4</v>
      </c>
      <c r="H7" s="1"/>
      <c r="I7" s="1"/>
      <c r="J7" s="17"/>
      <c r="K7" s="17"/>
      <c r="L7" s="17"/>
      <c r="M7" s="17"/>
      <c r="N7" s="17"/>
      <c r="O7" s="17" t="s">
        <v>10</v>
      </c>
    </row>
    <row r="8" spans="1:15" x14ac:dyDescent="0.2">
      <c r="A8" s="1">
        <v>2</v>
      </c>
      <c r="B8" s="17" t="s">
        <v>37</v>
      </c>
      <c r="C8" s="3"/>
      <c r="D8" s="17" t="s">
        <v>19</v>
      </c>
      <c r="E8" s="17">
        <v>50</v>
      </c>
      <c r="F8" s="18">
        <v>9.2361111111111116E-2</v>
      </c>
      <c r="G8" s="17">
        <v>10</v>
      </c>
      <c r="H8" s="1"/>
      <c r="I8" s="1"/>
      <c r="J8" s="17"/>
      <c r="K8" s="17"/>
      <c r="L8" s="17"/>
      <c r="M8" s="17"/>
      <c r="N8" s="17"/>
      <c r="O8" s="17" t="s">
        <v>10</v>
      </c>
    </row>
    <row r="9" spans="1:15" x14ac:dyDescent="0.2">
      <c r="A9" s="1">
        <v>3</v>
      </c>
      <c r="B9" s="17" t="s">
        <v>37</v>
      </c>
      <c r="C9" s="3"/>
      <c r="D9" s="17" t="s">
        <v>21</v>
      </c>
      <c r="E9" s="17">
        <v>53</v>
      </c>
      <c r="F9" s="18">
        <v>9.583333333333334E-2</v>
      </c>
      <c r="G9" s="17">
        <v>31</v>
      </c>
      <c r="H9" s="1"/>
      <c r="I9" s="1"/>
      <c r="J9" s="17"/>
      <c r="K9" s="17"/>
      <c r="L9" s="17"/>
      <c r="M9" s="17"/>
      <c r="N9" s="17"/>
      <c r="O9" s="17" t="s">
        <v>10</v>
      </c>
    </row>
    <row r="10" spans="1:15" x14ac:dyDescent="0.2">
      <c r="A10" s="1">
        <v>4</v>
      </c>
      <c r="B10" s="17" t="s">
        <v>37</v>
      </c>
      <c r="C10" s="3"/>
      <c r="D10" s="17" t="s">
        <v>23</v>
      </c>
      <c r="E10" s="17">
        <v>53</v>
      </c>
      <c r="F10" s="18">
        <v>9.2361111111111116E-2</v>
      </c>
      <c r="G10" s="17">
        <v>31</v>
      </c>
      <c r="H10" s="1"/>
      <c r="I10" s="1"/>
      <c r="J10" s="17"/>
      <c r="K10" s="17"/>
      <c r="L10" s="17"/>
      <c r="M10" s="17"/>
      <c r="N10" s="17"/>
      <c r="O10" s="17" t="s">
        <v>10</v>
      </c>
    </row>
    <row r="11" spans="1:15" x14ac:dyDescent="0.2">
      <c r="A11" s="1">
        <v>5</v>
      </c>
      <c r="B11" s="17" t="s">
        <v>38</v>
      </c>
      <c r="C11" s="3"/>
      <c r="D11" s="17" t="s">
        <v>23</v>
      </c>
      <c r="E11" s="18">
        <v>4.3749999999999997E-2</v>
      </c>
      <c r="F11" s="18">
        <v>8.0555555555555561E-2</v>
      </c>
      <c r="G11" s="17">
        <v>40</v>
      </c>
      <c r="H11" s="1"/>
      <c r="I11" s="1"/>
      <c r="J11" s="17"/>
      <c r="K11" s="17"/>
      <c r="L11" s="17"/>
      <c r="M11" s="17" t="s">
        <v>35</v>
      </c>
      <c r="N11" s="17"/>
      <c r="O11" s="17" t="s">
        <v>10</v>
      </c>
    </row>
    <row r="12" spans="1:15" x14ac:dyDescent="0.2">
      <c r="A12" s="1">
        <v>6</v>
      </c>
      <c r="B12" s="17" t="s">
        <v>38</v>
      </c>
      <c r="C12" s="3"/>
      <c r="D12" s="17" t="s">
        <v>21</v>
      </c>
      <c r="E12" s="18">
        <v>4.3749999999999997E-2</v>
      </c>
      <c r="F12" s="18">
        <v>8.0555555555555561E-2</v>
      </c>
      <c r="G12" s="17">
        <v>40</v>
      </c>
      <c r="H12" s="1"/>
      <c r="I12" s="1"/>
      <c r="J12" s="19">
        <v>0.49</v>
      </c>
      <c r="K12" s="19">
        <v>1</v>
      </c>
      <c r="L12" s="17"/>
      <c r="M12" s="17" t="s">
        <v>35</v>
      </c>
      <c r="N12" s="17"/>
      <c r="O12" s="17" t="s">
        <v>10</v>
      </c>
    </row>
    <row r="13" spans="1:15" x14ac:dyDescent="0.2">
      <c r="A13" s="1">
        <v>7</v>
      </c>
      <c r="B13" s="17" t="s">
        <v>38</v>
      </c>
      <c r="C13" s="3"/>
      <c r="D13" s="17" t="s">
        <v>23</v>
      </c>
      <c r="E13" s="18">
        <v>4.3055555555555555E-2</v>
      </c>
      <c r="F13" s="18">
        <v>8.1250000000000003E-2</v>
      </c>
      <c r="G13" s="17">
        <v>40</v>
      </c>
      <c r="H13" s="1"/>
      <c r="I13" s="1"/>
      <c r="J13" s="19">
        <v>0.51</v>
      </c>
      <c r="K13" s="17">
        <v>100</v>
      </c>
      <c r="L13" s="17"/>
      <c r="M13" s="17" t="s">
        <v>35</v>
      </c>
      <c r="N13" s="17"/>
      <c r="O13" s="20" t="s">
        <v>10</v>
      </c>
    </row>
    <row r="14" spans="1:15" x14ac:dyDescent="0.2">
      <c r="A14" s="1">
        <v>8</v>
      </c>
      <c r="B14" s="17" t="s">
        <v>38</v>
      </c>
      <c r="C14" s="3"/>
      <c r="D14" s="17" t="s">
        <v>23</v>
      </c>
      <c r="E14" s="18">
        <v>4.3055555555555555E-2</v>
      </c>
      <c r="F14" s="18">
        <v>7.7777777777777779E-2</v>
      </c>
      <c r="G14" s="17">
        <v>40</v>
      </c>
      <c r="H14" s="1"/>
      <c r="I14" s="1"/>
      <c r="J14" s="19">
        <v>0.51</v>
      </c>
      <c r="K14" s="17">
        <v>100</v>
      </c>
      <c r="L14" s="17"/>
      <c r="M14" s="17" t="s">
        <v>35</v>
      </c>
      <c r="N14" s="17"/>
      <c r="O14" s="17" t="s">
        <v>10</v>
      </c>
    </row>
    <row r="15" spans="1:15" x14ac:dyDescent="0.2">
      <c r="A15" s="2">
        <v>9</v>
      </c>
      <c r="B15" s="17" t="s">
        <v>38</v>
      </c>
      <c r="C15" s="3"/>
      <c r="D15" s="17" t="s">
        <v>23</v>
      </c>
      <c r="E15" s="18">
        <v>4.3749999999999997E-2</v>
      </c>
      <c r="F15" s="18">
        <v>6.1111111111111109E-2</v>
      </c>
      <c r="G15" s="17">
        <v>40</v>
      </c>
      <c r="H15" s="1"/>
      <c r="I15" s="1"/>
      <c r="J15" s="17">
        <v>100</v>
      </c>
      <c r="K15" s="17">
        <v>100</v>
      </c>
      <c r="L15" s="17" t="s">
        <v>28</v>
      </c>
      <c r="M15" s="17" t="s">
        <v>35</v>
      </c>
      <c r="N15" s="17">
        <v>43</v>
      </c>
      <c r="O15" s="17" t="s">
        <v>10</v>
      </c>
    </row>
    <row r="16" spans="1:15" x14ac:dyDescent="0.2">
      <c r="A16" s="2">
        <v>10</v>
      </c>
      <c r="B16" s="17" t="s">
        <v>38</v>
      </c>
      <c r="C16" s="3"/>
      <c r="D16" s="17" t="s">
        <v>23</v>
      </c>
      <c r="E16" s="18">
        <v>4.3055555555555555E-2</v>
      </c>
      <c r="F16" s="18">
        <v>6.1111111111111109E-2</v>
      </c>
      <c r="G16" s="17">
        <v>40</v>
      </c>
      <c r="H16" s="1"/>
      <c r="I16" s="1"/>
      <c r="J16" s="17">
        <v>100</v>
      </c>
      <c r="K16" s="17">
        <v>100</v>
      </c>
      <c r="L16" s="17" t="s">
        <v>28</v>
      </c>
      <c r="M16" s="17" t="s">
        <v>35</v>
      </c>
      <c r="N16" s="17">
        <v>43</v>
      </c>
      <c r="O16" s="17" t="s">
        <v>10</v>
      </c>
    </row>
    <row r="17" spans="1:15" x14ac:dyDescent="0.2">
      <c r="A17" s="2">
        <v>11</v>
      </c>
      <c r="B17" s="17" t="s">
        <v>38</v>
      </c>
      <c r="C17" s="3"/>
      <c r="D17" s="17" t="s">
        <v>23</v>
      </c>
      <c r="E17" s="18">
        <v>4.3055555555555555E-2</v>
      </c>
      <c r="F17" s="18">
        <v>6.1805555555555558E-2</v>
      </c>
      <c r="G17" s="17">
        <v>40</v>
      </c>
      <c r="H17" s="1"/>
      <c r="I17" s="1"/>
      <c r="J17" s="17">
        <v>100</v>
      </c>
      <c r="K17" s="17">
        <v>100</v>
      </c>
      <c r="L17" s="17" t="s">
        <v>28</v>
      </c>
      <c r="M17" s="17" t="s">
        <v>35</v>
      </c>
      <c r="N17" s="17">
        <v>35</v>
      </c>
      <c r="O17" s="17" t="s">
        <v>10</v>
      </c>
    </row>
    <row r="18" spans="1:15" x14ac:dyDescent="0.2">
      <c r="A18" s="2">
        <v>12</v>
      </c>
      <c r="B18" s="17" t="s">
        <v>38</v>
      </c>
      <c r="C18" s="3"/>
      <c r="D18" s="17" t="s">
        <v>23</v>
      </c>
      <c r="E18" s="18">
        <v>4.3055555555555555E-2</v>
      </c>
      <c r="F18" s="18">
        <v>6.1111111111111109E-2</v>
      </c>
      <c r="G18" s="17">
        <v>40</v>
      </c>
      <c r="H18" s="1"/>
      <c r="I18" s="1"/>
      <c r="J18" s="17">
        <v>100</v>
      </c>
      <c r="K18" s="17">
        <v>100</v>
      </c>
      <c r="L18" s="17" t="s">
        <v>28</v>
      </c>
      <c r="M18" s="17" t="s">
        <v>35</v>
      </c>
      <c r="N18" s="17">
        <v>35</v>
      </c>
      <c r="O18" s="17" t="s">
        <v>10</v>
      </c>
    </row>
    <row r="19" spans="1:15" x14ac:dyDescent="0.2">
      <c r="A19" s="2">
        <v>13</v>
      </c>
      <c r="B19" s="17" t="s">
        <v>38</v>
      </c>
      <c r="C19" s="3"/>
      <c r="D19" s="17" t="s">
        <v>23</v>
      </c>
      <c r="E19" s="18">
        <v>4.2361111111111113E-2</v>
      </c>
      <c r="F19" s="18">
        <v>6.1111111111111109E-2</v>
      </c>
      <c r="G19" s="17">
        <v>40</v>
      </c>
      <c r="H19" s="1"/>
      <c r="I19" s="1"/>
      <c r="J19" s="17">
        <v>100</v>
      </c>
      <c r="K19" s="17">
        <v>100</v>
      </c>
      <c r="L19" s="17" t="s">
        <v>28</v>
      </c>
      <c r="M19" s="17" t="s">
        <v>35</v>
      </c>
      <c r="N19" s="17">
        <v>35</v>
      </c>
      <c r="O19" s="17" t="s">
        <v>10</v>
      </c>
    </row>
    <row r="20" spans="1:15" x14ac:dyDescent="0.2">
      <c r="A20" s="2">
        <v>14</v>
      </c>
      <c r="B20" s="17" t="s">
        <v>38</v>
      </c>
      <c r="C20" s="3"/>
      <c r="D20" s="17" t="s">
        <v>23</v>
      </c>
      <c r="E20" s="18">
        <v>4.2361111111111113E-2</v>
      </c>
      <c r="F20" s="18">
        <v>6.1111111111111109E-2</v>
      </c>
      <c r="G20" s="17">
        <v>40</v>
      </c>
      <c r="H20" s="1"/>
      <c r="I20" s="1"/>
      <c r="J20" s="17">
        <v>100</v>
      </c>
      <c r="K20" s="17">
        <v>100</v>
      </c>
      <c r="L20" s="17" t="s">
        <v>28</v>
      </c>
      <c r="M20" s="17" t="s">
        <v>35</v>
      </c>
      <c r="N20" s="17">
        <v>35</v>
      </c>
      <c r="O20" s="17" t="s">
        <v>10</v>
      </c>
    </row>
    <row r="21" spans="1:15" x14ac:dyDescent="0.2">
      <c r="A21" s="2">
        <v>15</v>
      </c>
      <c r="B21" s="17" t="s">
        <v>38</v>
      </c>
      <c r="C21" s="3"/>
      <c r="D21" s="17" t="s">
        <v>23</v>
      </c>
      <c r="E21" s="18">
        <v>4.3055555555555555E-2</v>
      </c>
      <c r="F21" s="18">
        <v>6.1111111111111109E-2</v>
      </c>
      <c r="G21" s="17">
        <v>40</v>
      </c>
      <c r="H21" s="1"/>
      <c r="I21" s="1"/>
      <c r="J21" s="17">
        <v>100</v>
      </c>
      <c r="K21" s="17">
        <v>100</v>
      </c>
      <c r="L21" s="17" t="s">
        <v>28</v>
      </c>
      <c r="M21" s="17" t="s">
        <v>35</v>
      </c>
      <c r="N21" s="17">
        <v>35</v>
      </c>
      <c r="O21" s="17" t="s">
        <v>10</v>
      </c>
    </row>
    <row r="22" spans="1:15" x14ac:dyDescent="0.2">
      <c r="A22" s="2">
        <v>16</v>
      </c>
      <c r="B22" s="17" t="s">
        <v>38</v>
      </c>
      <c r="C22" s="3"/>
      <c r="D22" s="17" t="s">
        <v>1</v>
      </c>
      <c r="E22" s="18">
        <v>4.3055555555555555E-2</v>
      </c>
      <c r="F22" s="18">
        <v>6.1111111111111109E-2</v>
      </c>
      <c r="G22" s="17">
        <v>40</v>
      </c>
      <c r="H22" s="1"/>
      <c r="I22" s="1"/>
      <c r="J22" s="17">
        <v>100</v>
      </c>
      <c r="K22" s="17">
        <v>100</v>
      </c>
      <c r="L22" s="17" t="s">
        <v>28</v>
      </c>
      <c r="M22" s="17" t="s">
        <v>35</v>
      </c>
      <c r="N22" s="17">
        <v>35</v>
      </c>
      <c r="O22" s="17" t="s">
        <v>31</v>
      </c>
    </row>
    <row r="23" spans="1:15" x14ac:dyDescent="0.2">
      <c r="A23" s="2">
        <v>17</v>
      </c>
      <c r="B23" s="17" t="s">
        <v>38</v>
      </c>
      <c r="C23" s="3"/>
      <c r="D23" s="17" t="s">
        <v>23</v>
      </c>
      <c r="E23" s="18">
        <v>4.2361111111111113E-2</v>
      </c>
      <c r="F23" s="18">
        <v>6.1111111111111109E-2</v>
      </c>
      <c r="G23" s="17">
        <v>40</v>
      </c>
      <c r="H23" s="1"/>
      <c r="I23" s="1"/>
      <c r="J23" s="17">
        <v>100</v>
      </c>
      <c r="K23" s="17">
        <v>100</v>
      </c>
      <c r="L23" s="17" t="s">
        <v>28</v>
      </c>
      <c r="M23" s="17" t="s">
        <v>35</v>
      </c>
      <c r="N23" s="17">
        <v>38</v>
      </c>
      <c r="O23" s="17" t="s">
        <v>31</v>
      </c>
    </row>
    <row r="24" spans="1:15" x14ac:dyDescent="0.2">
      <c r="A24" s="2">
        <v>18</v>
      </c>
      <c r="B24" s="17" t="s">
        <v>38</v>
      </c>
      <c r="C24" s="3"/>
      <c r="D24" s="17" t="s">
        <v>32</v>
      </c>
      <c r="E24" s="18">
        <v>4.2361111111111113E-2</v>
      </c>
      <c r="F24" s="18">
        <v>6.1111111111111109E-2</v>
      </c>
      <c r="G24" s="17">
        <v>40</v>
      </c>
      <c r="H24" s="1"/>
      <c r="I24" s="1"/>
      <c r="J24" s="17">
        <v>100</v>
      </c>
      <c r="K24" s="17">
        <v>100</v>
      </c>
      <c r="L24" s="17" t="s">
        <v>28</v>
      </c>
      <c r="M24" s="17" t="s">
        <v>39</v>
      </c>
      <c r="N24" s="17">
        <v>38</v>
      </c>
      <c r="O24" s="17" t="s">
        <v>31</v>
      </c>
    </row>
    <row r="25" spans="1:15" x14ac:dyDescent="0.2">
      <c r="A25" s="2">
        <v>19</v>
      </c>
      <c r="B25" s="17" t="s">
        <v>38</v>
      </c>
      <c r="C25" s="3"/>
      <c r="D25" s="17" t="s">
        <v>32</v>
      </c>
      <c r="E25" s="18">
        <v>4.2361111111111113E-2</v>
      </c>
      <c r="F25" s="18">
        <v>6.1111111111111109E-2</v>
      </c>
      <c r="G25" s="17">
        <v>40</v>
      </c>
      <c r="H25" s="1"/>
      <c r="I25" s="1"/>
      <c r="J25" s="17">
        <v>100</v>
      </c>
      <c r="K25" s="17">
        <v>100</v>
      </c>
      <c r="L25" s="17" t="s">
        <v>28</v>
      </c>
      <c r="M25" s="17" t="s">
        <v>39</v>
      </c>
      <c r="N25" s="17">
        <v>38</v>
      </c>
      <c r="O25" s="17" t="s">
        <v>31</v>
      </c>
    </row>
    <row r="26" spans="1:15" s="6" customFormat="1" x14ac:dyDescent="0.2">
      <c r="A26" s="2">
        <v>20</v>
      </c>
      <c r="B26" s="17" t="s">
        <v>38</v>
      </c>
      <c r="C26" s="3"/>
      <c r="D26" s="17" t="s">
        <v>33</v>
      </c>
      <c r="E26" s="18">
        <v>4.3055555555555555E-2</v>
      </c>
      <c r="F26" s="18">
        <v>6.1111111111111109E-2</v>
      </c>
      <c r="G26" s="17">
        <v>40</v>
      </c>
      <c r="H26" s="3"/>
      <c r="I26" s="3"/>
      <c r="J26" s="17">
        <v>100</v>
      </c>
      <c r="K26" s="17">
        <v>100</v>
      </c>
      <c r="L26" s="17" t="s">
        <v>28</v>
      </c>
      <c r="M26" s="17" t="s">
        <v>39</v>
      </c>
      <c r="N26" s="17">
        <v>35</v>
      </c>
      <c r="O26" s="17" t="s">
        <v>31</v>
      </c>
    </row>
    <row r="27" spans="1:15" x14ac:dyDescent="0.2">
      <c r="A27" s="2">
        <v>21</v>
      </c>
      <c r="B27" s="17" t="s">
        <v>40</v>
      </c>
      <c r="C27" s="3"/>
      <c r="D27" s="17" t="s">
        <v>23</v>
      </c>
      <c r="E27" s="18">
        <v>5.2777777777777778E-2</v>
      </c>
      <c r="F27" s="18">
        <v>7.2222222222222215E-2</v>
      </c>
      <c r="G27" s="17">
        <v>50</v>
      </c>
      <c r="H27" s="1"/>
      <c r="I27" s="1"/>
      <c r="J27" s="17">
        <v>100</v>
      </c>
      <c r="K27" s="17">
        <v>100</v>
      </c>
      <c r="L27" s="17" t="s">
        <v>28</v>
      </c>
      <c r="M27" s="17" t="s">
        <v>41</v>
      </c>
      <c r="N27" s="17">
        <v>35</v>
      </c>
      <c r="O27" s="17" t="s">
        <v>31</v>
      </c>
    </row>
    <row r="28" spans="1:15" x14ac:dyDescent="0.2">
      <c r="A28" s="2">
        <v>22</v>
      </c>
      <c r="B28" s="17" t="s">
        <v>40</v>
      </c>
      <c r="C28" s="3"/>
      <c r="D28" s="17" t="s">
        <v>23</v>
      </c>
      <c r="E28" s="18">
        <v>5.347222222222222E-2</v>
      </c>
      <c r="F28" s="18">
        <v>7.2222222222222215E-2</v>
      </c>
      <c r="G28" s="17">
        <v>50</v>
      </c>
      <c r="H28" s="1"/>
      <c r="I28" s="1"/>
      <c r="J28" s="17">
        <v>100</v>
      </c>
      <c r="K28" s="17">
        <v>100</v>
      </c>
      <c r="L28" s="17" t="s">
        <v>28</v>
      </c>
      <c r="M28" s="17" t="s">
        <v>41</v>
      </c>
      <c r="N28" s="17">
        <v>35</v>
      </c>
      <c r="O28" s="17" t="s">
        <v>31</v>
      </c>
    </row>
    <row r="29" spans="1:15" x14ac:dyDescent="0.2">
      <c r="A29" s="2">
        <v>23</v>
      </c>
      <c r="B29" s="17" t="s">
        <v>40</v>
      </c>
      <c r="C29" s="3"/>
      <c r="D29" s="17" t="s">
        <v>23</v>
      </c>
      <c r="E29" s="18">
        <v>5.347222222222222E-2</v>
      </c>
      <c r="F29" s="18">
        <v>7.1527777777777773E-2</v>
      </c>
      <c r="G29" s="17">
        <v>50</v>
      </c>
      <c r="H29" s="1"/>
      <c r="I29" s="1"/>
      <c r="J29" s="17"/>
      <c r="K29" s="17"/>
      <c r="L29" s="17"/>
      <c r="M29" s="17" t="s">
        <v>41</v>
      </c>
      <c r="N29" s="17"/>
      <c r="O29" s="17"/>
    </row>
    <row r="30" spans="1:15" x14ac:dyDescent="0.2">
      <c r="A30" s="2">
        <v>24</v>
      </c>
      <c r="B30" s="17" t="s">
        <v>40</v>
      </c>
      <c r="C30" s="3"/>
      <c r="D30" s="17" t="s">
        <v>23</v>
      </c>
      <c r="E30" s="18">
        <v>5.2777777777777778E-2</v>
      </c>
      <c r="F30" s="18">
        <v>7.1527777777777773E-2</v>
      </c>
      <c r="G30" s="17">
        <v>50</v>
      </c>
      <c r="H30" s="1"/>
      <c r="I30" s="1"/>
      <c r="J30" s="17"/>
      <c r="K30" s="17"/>
      <c r="L30" s="17"/>
      <c r="M30" s="17" t="s">
        <v>41</v>
      </c>
      <c r="N30" s="17"/>
      <c r="O30" s="17"/>
    </row>
    <row r="31" spans="1:15" x14ac:dyDescent="0.2">
      <c r="A31" s="2">
        <v>25</v>
      </c>
      <c r="B31" s="17" t="s">
        <v>40</v>
      </c>
      <c r="C31" s="3"/>
      <c r="D31" s="17" t="s">
        <v>23</v>
      </c>
      <c r="E31" s="18">
        <v>5.2777777777777778E-2</v>
      </c>
      <c r="F31" s="18">
        <v>7.2222222222222215E-2</v>
      </c>
      <c r="G31" s="17">
        <v>50</v>
      </c>
      <c r="H31" s="1"/>
      <c r="I31" s="1"/>
      <c r="J31" s="17">
        <v>100</v>
      </c>
      <c r="K31" s="17">
        <v>100</v>
      </c>
      <c r="L31" s="17" t="s">
        <v>28</v>
      </c>
      <c r="M31" s="17" t="s">
        <v>41</v>
      </c>
      <c r="N31" s="17">
        <v>35</v>
      </c>
      <c r="O31" s="17" t="s">
        <v>31</v>
      </c>
    </row>
    <row r="32" spans="1:15" x14ac:dyDescent="0.2">
      <c r="A32" s="2">
        <v>26</v>
      </c>
      <c r="B32" s="17" t="s">
        <v>42</v>
      </c>
      <c r="C32" s="3"/>
      <c r="D32" s="17" t="s">
        <v>23</v>
      </c>
      <c r="E32" s="18">
        <v>5.2777777777777778E-2</v>
      </c>
      <c r="F32" s="18">
        <v>7.1527777777777773E-2</v>
      </c>
      <c r="G32" s="17">
        <v>50</v>
      </c>
      <c r="H32" s="1"/>
      <c r="I32" s="1"/>
      <c r="J32" s="17">
        <v>100</v>
      </c>
      <c r="K32" s="17">
        <v>100</v>
      </c>
      <c r="L32" s="17" t="s">
        <v>28</v>
      </c>
      <c r="M32" s="17" t="s">
        <v>44</v>
      </c>
      <c r="N32" s="17">
        <v>35</v>
      </c>
      <c r="O32" s="17" t="s">
        <v>31</v>
      </c>
    </row>
    <row r="33" spans="1:15" x14ac:dyDescent="0.2">
      <c r="A33" s="2">
        <v>27</v>
      </c>
      <c r="B33" s="17" t="s">
        <v>42</v>
      </c>
      <c r="C33" s="3"/>
      <c r="D33" s="17" t="s">
        <v>23</v>
      </c>
      <c r="E33" s="18"/>
      <c r="F33" s="18">
        <v>7.1527777777777773E-2</v>
      </c>
      <c r="G33" s="17">
        <v>50</v>
      </c>
      <c r="H33" s="1"/>
      <c r="I33" s="1"/>
      <c r="J33" s="17">
        <v>100</v>
      </c>
      <c r="K33" s="17">
        <v>100</v>
      </c>
      <c r="L33" s="17" t="s">
        <v>28</v>
      </c>
      <c r="M33" s="17" t="s">
        <v>44</v>
      </c>
      <c r="N33" s="17">
        <v>35</v>
      </c>
      <c r="O33" s="17" t="s">
        <v>31</v>
      </c>
    </row>
    <row r="34" spans="1:15" x14ac:dyDescent="0.2">
      <c r="A34" s="2">
        <v>28</v>
      </c>
      <c r="B34" s="17" t="s">
        <v>42</v>
      </c>
      <c r="C34" s="3"/>
      <c r="D34" s="17" t="s">
        <v>23</v>
      </c>
      <c r="E34" s="18"/>
      <c r="F34" s="18">
        <v>7.1527777777777773E-2</v>
      </c>
      <c r="G34" s="17">
        <v>50</v>
      </c>
      <c r="H34" s="1"/>
      <c r="I34" s="1"/>
      <c r="J34" s="17">
        <v>100</v>
      </c>
      <c r="K34" s="17">
        <v>100</v>
      </c>
      <c r="L34" s="17" t="s">
        <v>28</v>
      </c>
      <c r="M34" s="17" t="s">
        <v>44</v>
      </c>
      <c r="N34" s="17">
        <v>35</v>
      </c>
      <c r="O34" s="17" t="s">
        <v>31</v>
      </c>
    </row>
    <row r="35" spans="1:15" x14ac:dyDescent="0.2">
      <c r="A35" s="2">
        <v>29</v>
      </c>
      <c r="B35" s="17" t="s">
        <v>42</v>
      </c>
      <c r="C35" s="3"/>
      <c r="D35" s="17" t="s">
        <v>23</v>
      </c>
      <c r="E35" s="18"/>
      <c r="F35" s="18">
        <v>7.1527777777777773E-2</v>
      </c>
      <c r="G35" s="17">
        <v>50</v>
      </c>
      <c r="H35" s="1"/>
      <c r="I35" s="1"/>
      <c r="J35" s="17">
        <v>100</v>
      </c>
      <c r="K35" s="17">
        <v>100</v>
      </c>
      <c r="L35" s="17" t="s">
        <v>28</v>
      </c>
      <c r="M35" s="17" t="s">
        <v>35</v>
      </c>
      <c r="N35" s="17">
        <v>35</v>
      </c>
      <c r="O35" s="17" t="s">
        <v>31</v>
      </c>
    </row>
    <row r="36" spans="1:15" x14ac:dyDescent="0.2">
      <c r="A36" s="2">
        <v>30</v>
      </c>
      <c r="B36" s="17" t="s">
        <v>48</v>
      </c>
      <c r="C36" s="3"/>
      <c r="D36" s="17" t="s">
        <v>23</v>
      </c>
      <c r="E36" s="18"/>
      <c r="F36" s="18">
        <v>7.1527777777777773E-2</v>
      </c>
      <c r="G36" s="17">
        <v>50</v>
      </c>
      <c r="H36" s="1"/>
      <c r="I36" s="1"/>
      <c r="J36" s="17">
        <v>100</v>
      </c>
      <c r="K36" s="17">
        <v>100</v>
      </c>
      <c r="L36" s="17" t="s">
        <v>28</v>
      </c>
      <c r="M36" s="17" t="s">
        <v>49</v>
      </c>
      <c r="N36" s="17">
        <v>35</v>
      </c>
      <c r="O36" s="17" t="s">
        <v>31</v>
      </c>
    </row>
    <row r="37" spans="1:15" x14ac:dyDescent="0.2">
      <c r="A37" s="2">
        <v>31</v>
      </c>
      <c r="B37" s="17" t="s">
        <v>48</v>
      </c>
      <c r="C37" s="3"/>
      <c r="D37" s="17" t="s">
        <v>23</v>
      </c>
      <c r="E37" s="18"/>
      <c r="F37" s="18">
        <v>7.1527777777777773E-2</v>
      </c>
      <c r="G37" s="17">
        <v>50</v>
      </c>
      <c r="H37" s="1"/>
      <c r="I37" s="1"/>
      <c r="J37" s="17">
        <v>100</v>
      </c>
      <c r="K37" s="17">
        <v>100</v>
      </c>
      <c r="L37" s="17" t="s">
        <v>28</v>
      </c>
      <c r="M37" s="17" t="s">
        <v>49</v>
      </c>
      <c r="N37" s="17">
        <v>35</v>
      </c>
      <c r="O37" s="17" t="s">
        <v>31</v>
      </c>
    </row>
    <row r="38" spans="1:15" x14ac:dyDescent="0.2">
      <c r="A38" s="2">
        <v>31</v>
      </c>
      <c r="B38" s="17" t="s">
        <v>48</v>
      </c>
      <c r="C38" s="3"/>
      <c r="D38" s="17" t="s">
        <v>23</v>
      </c>
      <c r="E38" s="18"/>
      <c r="F38" s="18">
        <v>7.1527777777777773E-2</v>
      </c>
      <c r="G38" s="17">
        <v>50</v>
      </c>
      <c r="H38" s="1"/>
      <c r="I38" s="1"/>
      <c r="J38" s="17">
        <v>100</v>
      </c>
      <c r="K38" s="17">
        <v>100</v>
      </c>
      <c r="L38" s="17" t="s">
        <v>28</v>
      </c>
      <c r="M38" s="17" t="s">
        <v>49</v>
      </c>
      <c r="N38" s="17">
        <v>35</v>
      </c>
      <c r="O38" s="17" t="s">
        <v>31</v>
      </c>
    </row>
    <row r="39" spans="1:15" x14ac:dyDescent="0.2">
      <c r="A39" s="2">
        <v>33</v>
      </c>
      <c r="B39" s="17" t="s">
        <v>48</v>
      </c>
      <c r="C39" s="3"/>
      <c r="D39" s="17" t="s">
        <v>23</v>
      </c>
      <c r="E39" s="18"/>
      <c r="F39" s="18">
        <v>7.1527777777777773E-2</v>
      </c>
      <c r="G39" s="17">
        <v>50</v>
      </c>
      <c r="H39" s="1"/>
      <c r="I39" s="1"/>
      <c r="J39" s="17">
        <v>100</v>
      </c>
      <c r="K39" s="17">
        <v>100</v>
      </c>
      <c r="L39" s="17" t="s">
        <v>28</v>
      </c>
      <c r="M39" s="17" t="s">
        <v>49</v>
      </c>
      <c r="N39" s="17">
        <v>35</v>
      </c>
      <c r="O39" s="17" t="s">
        <v>31</v>
      </c>
    </row>
    <row r="40" spans="1:15" x14ac:dyDescent="0.2">
      <c r="A40" s="2">
        <v>34</v>
      </c>
      <c r="B40" s="17" t="s">
        <v>48</v>
      </c>
      <c r="C40" s="3"/>
      <c r="D40" s="17" t="s">
        <v>23</v>
      </c>
      <c r="E40" s="18"/>
      <c r="F40" s="18">
        <v>7.1527777777777773E-2</v>
      </c>
      <c r="G40" s="17">
        <v>50</v>
      </c>
      <c r="H40" s="1"/>
      <c r="I40" s="1"/>
      <c r="J40" s="17">
        <v>100</v>
      </c>
      <c r="K40" s="17">
        <v>100</v>
      </c>
      <c r="L40" s="17" t="s">
        <v>28</v>
      </c>
      <c r="M40" s="17" t="s">
        <v>49</v>
      </c>
      <c r="N40" s="17">
        <v>35</v>
      </c>
      <c r="O40" s="17" t="s">
        <v>31</v>
      </c>
    </row>
    <row r="41" spans="1:15" x14ac:dyDescent="0.2">
      <c r="A41" s="2">
        <v>35</v>
      </c>
      <c r="B41" s="17" t="s">
        <v>48</v>
      </c>
      <c r="C41" s="3"/>
      <c r="D41" s="17" t="s">
        <v>23</v>
      </c>
      <c r="E41" s="18"/>
      <c r="F41" s="18">
        <v>7.1527777777777773E-2</v>
      </c>
      <c r="G41" s="17">
        <v>50</v>
      </c>
      <c r="H41" s="1"/>
      <c r="I41" s="1"/>
      <c r="J41" s="17">
        <v>100</v>
      </c>
      <c r="K41" s="17">
        <v>100</v>
      </c>
      <c r="L41" s="17" t="s">
        <v>28</v>
      </c>
      <c r="M41" s="17" t="s">
        <v>49</v>
      </c>
      <c r="N41" s="17">
        <v>35</v>
      </c>
      <c r="O41" s="17" t="s">
        <v>31</v>
      </c>
    </row>
    <row r="42" spans="1:15" x14ac:dyDescent="0.2">
      <c r="A42" s="13" t="s">
        <v>68</v>
      </c>
      <c r="B42" s="14"/>
      <c r="C42" s="14"/>
      <c r="D42" s="15"/>
      <c r="E42" s="15"/>
      <c r="F42" s="16">
        <f>AVERAGE(F7:F41)</f>
        <v>7.0615079365079395E-2</v>
      </c>
      <c r="G42" s="15"/>
      <c r="H42" s="15"/>
      <c r="I42" s="15"/>
      <c r="J42" s="15"/>
      <c r="K42" s="15"/>
      <c r="L42" s="15"/>
      <c r="M42" s="15"/>
      <c r="N42" s="15"/>
      <c r="O42" s="15"/>
    </row>
    <row r="43" spans="1:15" x14ac:dyDescent="0.2">
      <c r="A43" s="13"/>
      <c r="B43" s="14"/>
      <c r="C43" s="14"/>
      <c r="D43" s="15"/>
      <c r="E43" s="15"/>
      <c r="F43" s="15">
        <f>60+41</f>
        <v>101</v>
      </c>
      <c r="G43" s="15"/>
      <c r="H43" s="15"/>
      <c r="I43" s="15"/>
      <c r="J43" s="15"/>
      <c r="K43" s="15"/>
      <c r="L43" s="15"/>
      <c r="M43" s="15"/>
      <c r="N43" s="15"/>
      <c r="O43" s="15"/>
    </row>
    <row r="44" spans="1:15" x14ac:dyDescent="0.2">
      <c r="A44" s="13"/>
      <c r="B44" s="14"/>
      <c r="C44" s="14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x14ac:dyDescent="0.2">
      <c r="A45" s="13"/>
      <c r="B45" s="14"/>
      <c r="C45" s="14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x14ac:dyDescent="0.2">
      <c r="A46" s="13"/>
      <c r="B46" s="14"/>
      <c r="C46" s="14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1:15" x14ac:dyDescent="0.2">
      <c r="A47" s="15"/>
      <c r="B47" s="14"/>
      <c r="C47" s="1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x14ac:dyDescent="0.2">
      <c r="A48" s="15"/>
      <c r="B48" s="14"/>
      <c r="C48" s="14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7AE7-BF9B-5B4E-95E8-0AC44E738F4D}">
  <dimension ref="A1:Z38"/>
  <sheetViews>
    <sheetView workbookViewId="0">
      <selection activeCell="I27" sqref="I27"/>
    </sheetView>
  </sheetViews>
  <sheetFormatPr baseColWidth="10" defaultRowHeight="16" x14ac:dyDescent="0.2"/>
  <cols>
    <col min="1" max="8" width="10.83203125" style="4"/>
    <col min="9" max="9" width="20.5" style="4" customWidth="1"/>
    <col min="10" max="11" width="10.83203125" style="4"/>
    <col min="12" max="12" width="15" style="4" customWidth="1"/>
    <col min="13" max="13" width="24" style="4" customWidth="1"/>
    <col min="14" max="14" width="22.1640625" style="4" customWidth="1"/>
    <col min="15" max="15" width="23.1640625" style="4" customWidth="1"/>
    <col min="16" max="16" width="12.33203125" style="4" customWidth="1"/>
    <col min="17" max="16384" width="10.83203125" style="4"/>
  </cols>
  <sheetData>
    <row r="1" spans="1:26" x14ac:dyDescent="0.2">
      <c r="A1" s="5" t="s">
        <v>69</v>
      </c>
      <c r="B1" s="5" t="s">
        <v>15</v>
      </c>
      <c r="C1" s="5" t="s">
        <v>36</v>
      </c>
      <c r="D1" s="5" t="s">
        <v>45</v>
      </c>
      <c r="E1" s="5" t="s">
        <v>16</v>
      </c>
      <c r="F1" s="5" t="s">
        <v>17</v>
      </c>
      <c r="G1" s="5" t="s">
        <v>20</v>
      </c>
      <c r="H1" s="5" t="s">
        <v>22</v>
      </c>
      <c r="I1" s="5" t="s">
        <v>24</v>
      </c>
      <c r="J1" s="5" t="s">
        <v>46</v>
      </c>
      <c r="K1" s="5" t="s">
        <v>25</v>
      </c>
      <c r="L1" s="5" t="s">
        <v>26</v>
      </c>
      <c r="M1" s="5" t="s">
        <v>70</v>
      </c>
      <c r="N1" s="5" t="s">
        <v>34</v>
      </c>
      <c r="O1" s="5" t="s">
        <v>30</v>
      </c>
      <c r="P1" s="5" t="s">
        <v>47</v>
      </c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">
      <c r="A2" s="9" t="s">
        <v>71</v>
      </c>
      <c r="B2" s="9">
        <v>1</v>
      </c>
      <c r="C2" s="9" t="s">
        <v>42</v>
      </c>
      <c r="D2" s="9"/>
      <c r="E2" s="9" t="s">
        <v>19</v>
      </c>
      <c r="F2" s="11">
        <v>3.0555555555555555E-2</v>
      </c>
      <c r="G2" s="11">
        <v>3.8194444444444448E-2</v>
      </c>
      <c r="H2" s="9">
        <v>50</v>
      </c>
      <c r="I2" s="9"/>
      <c r="J2" s="9"/>
      <c r="K2" s="9"/>
      <c r="L2" s="9"/>
      <c r="M2" s="9" t="s">
        <v>72</v>
      </c>
      <c r="N2" s="9" t="s">
        <v>73</v>
      </c>
      <c r="O2" s="9" t="s">
        <v>74</v>
      </c>
      <c r="P2" s="9" t="s">
        <v>75</v>
      </c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">
      <c r="A3" s="9" t="s">
        <v>71</v>
      </c>
      <c r="B3" s="9">
        <v>2</v>
      </c>
      <c r="C3" s="9" t="s">
        <v>42</v>
      </c>
      <c r="D3" s="9"/>
      <c r="E3" s="9" t="s">
        <v>1</v>
      </c>
      <c r="F3" s="11">
        <v>9.8611111111111108E-2</v>
      </c>
      <c r="G3" s="11">
        <v>0.11736111111111111</v>
      </c>
      <c r="H3" s="9">
        <v>200</v>
      </c>
      <c r="I3" s="9"/>
      <c r="J3" s="9"/>
      <c r="K3" s="9"/>
      <c r="L3" s="9"/>
      <c r="M3" s="9" t="s">
        <v>72</v>
      </c>
      <c r="N3" s="9" t="s">
        <v>76</v>
      </c>
      <c r="O3" s="9" t="s">
        <v>77</v>
      </c>
      <c r="P3" s="9" t="s">
        <v>75</v>
      </c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">
      <c r="A4" s="9" t="s">
        <v>78</v>
      </c>
      <c r="B4" s="9">
        <v>3</v>
      </c>
      <c r="C4" s="9" t="s">
        <v>42</v>
      </c>
      <c r="D4" s="9"/>
      <c r="E4" s="9" t="s">
        <v>1</v>
      </c>
      <c r="F4" s="11">
        <v>5.5555555555555552E-2</v>
      </c>
      <c r="G4" s="11">
        <v>6.5972222222222224E-2</v>
      </c>
      <c r="H4" s="9">
        <v>100</v>
      </c>
      <c r="I4" s="9"/>
      <c r="J4" s="9"/>
      <c r="K4" s="9"/>
      <c r="L4" s="9"/>
      <c r="M4" s="9" t="s">
        <v>79</v>
      </c>
      <c r="N4" s="9" t="s">
        <v>80</v>
      </c>
      <c r="O4" s="9" t="s">
        <v>77</v>
      </c>
      <c r="P4" s="9" t="s">
        <v>31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">
      <c r="A5" s="9" t="s">
        <v>81</v>
      </c>
      <c r="B5" s="9">
        <v>4</v>
      </c>
      <c r="C5" s="9" t="s">
        <v>48</v>
      </c>
      <c r="D5" s="9"/>
      <c r="E5" s="9" t="s">
        <v>23</v>
      </c>
      <c r="F5" s="11">
        <v>4.8611111111111112E-2</v>
      </c>
      <c r="G5" s="11">
        <v>5.7638888888888892E-2</v>
      </c>
      <c r="H5" s="9">
        <v>100</v>
      </c>
      <c r="I5" s="9"/>
      <c r="J5" s="9"/>
      <c r="K5" s="9"/>
      <c r="L5" s="9"/>
      <c r="M5" s="9" t="s">
        <v>79</v>
      </c>
      <c r="N5" s="9" t="s">
        <v>80</v>
      </c>
      <c r="O5" s="9" t="s">
        <v>77</v>
      </c>
      <c r="P5" s="9" t="s">
        <v>31</v>
      </c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">
      <c r="A6" s="9" t="s">
        <v>81</v>
      </c>
      <c r="B6" s="9">
        <v>5</v>
      </c>
      <c r="C6" s="9"/>
      <c r="D6" s="9"/>
      <c r="E6" s="9"/>
      <c r="F6"/>
      <c r="G6" s="11">
        <v>6.458333333333334E-2</v>
      </c>
      <c r="H6" s="9"/>
      <c r="I6" s="9"/>
      <c r="J6" s="9"/>
      <c r="K6" s="9"/>
      <c r="L6" s="9"/>
      <c r="M6" s="9"/>
      <c r="N6" s="9"/>
      <c r="O6" s="9"/>
      <c r="P6" s="9"/>
    </row>
    <row r="7" spans="1:26" x14ac:dyDescent="0.2">
      <c r="A7" s="9" t="s">
        <v>81</v>
      </c>
      <c r="B7" s="9">
        <v>6</v>
      </c>
      <c r="F7"/>
      <c r="G7" s="11">
        <v>6.5972222222222224E-2</v>
      </c>
    </row>
    <row r="8" spans="1:26" x14ac:dyDescent="0.2">
      <c r="A8" s="9" t="s">
        <v>81</v>
      </c>
      <c r="B8" s="9">
        <v>7</v>
      </c>
      <c r="F8"/>
      <c r="G8" s="11">
        <v>6.5972222222222224E-2</v>
      </c>
    </row>
    <row r="9" spans="1:26" x14ac:dyDescent="0.2">
      <c r="A9" s="9" t="s">
        <v>81</v>
      </c>
      <c r="B9" s="9">
        <v>8</v>
      </c>
      <c r="F9"/>
      <c r="G9" s="11">
        <v>7.8472222222222221E-2</v>
      </c>
    </row>
    <row r="10" spans="1:26" x14ac:dyDescent="0.2">
      <c r="A10" s="9" t="s">
        <v>81</v>
      </c>
      <c r="B10" s="9">
        <v>9</v>
      </c>
      <c r="F10"/>
      <c r="G10" s="11">
        <v>6.9444444444444448E-2</v>
      </c>
    </row>
    <row r="11" spans="1:26" x14ac:dyDescent="0.2">
      <c r="A11" s="4" t="s">
        <v>84</v>
      </c>
      <c r="B11" s="9">
        <v>10</v>
      </c>
      <c r="F11"/>
      <c r="G11" s="11">
        <v>9.5138888888888884E-2</v>
      </c>
    </row>
    <row r="12" spans="1:26" x14ac:dyDescent="0.2">
      <c r="A12" s="4" t="s">
        <v>84</v>
      </c>
      <c r="B12" s="9">
        <v>11</v>
      </c>
      <c r="F12"/>
      <c r="G12" s="11">
        <v>9.166666666666666E-2</v>
      </c>
    </row>
    <row r="13" spans="1:26" x14ac:dyDescent="0.2">
      <c r="A13" s="9" t="s">
        <v>78</v>
      </c>
      <c r="B13" s="9">
        <v>12</v>
      </c>
      <c r="F13"/>
      <c r="G13" s="11">
        <v>7.5694444444444439E-2</v>
      </c>
    </row>
    <row r="14" spans="1:26" x14ac:dyDescent="0.2">
      <c r="A14" s="9" t="s">
        <v>78</v>
      </c>
      <c r="B14" s="9">
        <v>13</v>
      </c>
      <c r="F14"/>
      <c r="G14" s="11">
        <v>7.3611111111111113E-2</v>
      </c>
    </row>
    <row r="15" spans="1:26" x14ac:dyDescent="0.2">
      <c r="A15" s="9" t="s">
        <v>78</v>
      </c>
      <c r="B15" s="9">
        <v>14</v>
      </c>
      <c r="F15"/>
      <c r="G15" s="11">
        <v>8.8888888888888892E-2</v>
      </c>
    </row>
    <row r="16" spans="1:26" x14ac:dyDescent="0.2">
      <c r="A16" s="9" t="s">
        <v>78</v>
      </c>
      <c r="B16" s="9">
        <v>15</v>
      </c>
      <c r="F16"/>
      <c r="G16" s="11">
        <v>7.1527777777777773E-2</v>
      </c>
    </row>
    <row r="17" spans="1:7" x14ac:dyDescent="0.2">
      <c r="A17" s="9" t="s">
        <v>78</v>
      </c>
      <c r="B17" s="9">
        <v>16</v>
      </c>
      <c r="F17"/>
      <c r="G17" s="11">
        <v>8.8888888888888892E-2</v>
      </c>
    </row>
    <row r="18" spans="1:7" x14ac:dyDescent="0.2">
      <c r="A18" s="9" t="s">
        <v>78</v>
      </c>
      <c r="B18" s="9">
        <v>17</v>
      </c>
      <c r="F18"/>
      <c r="G18" s="11">
        <v>6.3888888888888884E-2</v>
      </c>
    </row>
    <row r="19" spans="1:7" x14ac:dyDescent="0.2">
      <c r="A19" s="4" t="s">
        <v>83</v>
      </c>
      <c r="B19" s="9">
        <v>18</v>
      </c>
      <c r="F19"/>
      <c r="G19" s="11">
        <v>8.819444444444445E-2</v>
      </c>
    </row>
    <row r="20" spans="1:7" x14ac:dyDescent="0.2">
      <c r="A20" s="4" t="s">
        <v>83</v>
      </c>
      <c r="B20" s="9">
        <v>19</v>
      </c>
      <c r="F20"/>
      <c r="G20" s="11">
        <v>9.2361111111111116E-2</v>
      </c>
    </row>
    <row r="21" spans="1:7" x14ac:dyDescent="0.2">
      <c r="A21" s="4" t="s">
        <v>83</v>
      </c>
      <c r="B21" s="9">
        <v>20</v>
      </c>
      <c r="F21"/>
      <c r="G21" s="11">
        <v>6.9444444444444448E-2</v>
      </c>
    </row>
    <row r="22" spans="1:7" x14ac:dyDescent="0.2">
      <c r="A22" s="4" t="s">
        <v>83</v>
      </c>
      <c r="B22" s="9">
        <v>21</v>
      </c>
      <c r="F22"/>
      <c r="G22" s="11">
        <v>8.1250000000000003E-2</v>
      </c>
    </row>
    <row r="23" spans="1:7" x14ac:dyDescent="0.2">
      <c r="A23" s="4" t="s">
        <v>83</v>
      </c>
      <c r="B23" s="9">
        <v>22</v>
      </c>
      <c r="F23"/>
      <c r="G23" s="11">
        <v>8.9583333333333334E-2</v>
      </c>
    </row>
    <row r="24" spans="1:7" x14ac:dyDescent="0.2">
      <c r="A24" s="4" t="s">
        <v>83</v>
      </c>
      <c r="B24" s="9">
        <v>23</v>
      </c>
      <c r="F24"/>
      <c r="G24" s="11">
        <v>7.9861111111111105E-2</v>
      </c>
    </row>
    <row r="25" spans="1:7" x14ac:dyDescent="0.2">
      <c r="A25" s="4" t="s">
        <v>83</v>
      </c>
      <c r="B25" s="9">
        <v>24</v>
      </c>
      <c r="F25"/>
      <c r="G25" s="11">
        <v>9.4444444444444442E-2</v>
      </c>
    </row>
    <row r="26" spans="1:7" x14ac:dyDescent="0.2">
      <c r="A26" s="9" t="s">
        <v>71</v>
      </c>
      <c r="B26" s="9">
        <v>25</v>
      </c>
      <c r="F26"/>
      <c r="G26" s="11">
        <v>8.4722222222222227E-2</v>
      </c>
    </row>
    <row r="27" spans="1:7" x14ac:dyDescent="0.2">
      <c r="A27" s="9" t="s">
        <v>71</v>
      </c>
      <c r="B27" s="9">
        <v>26</v>
      </c>
      <c r="F27"/>
      <c r="G27" s="11">
        <v>7.8472222222222221E-2</v>
      </c>
    </row>
    <row r="28" spans="1:7" x14ac:dyDescent="0.2">
      <c r="A28" s="9" t="s">
        <v>71</v>
      </c>
      <c r="B28" s="9">
        <v>27</v>
      </c>
      <c r="F28"/>
      <c r="G28" s="11">
        <v>8.611111111111111E-2</v>
      </c>
    </row>
    <row r="29" spans="1:7" x14ac:dyDescent="0.2">
      <c r="A29" s="9" t="s">
        <v>71</v>
      </c>
      <c r="B29" s="9">
        <v>28</v>
      </c>
      <c r="F29"/>
      <c r="G29" s="11">
        <v>8.1944444444444445E-2</v>
      </c>
    </row>
    <row r="30" spans="1:7" x14ac:dyDescent="0.2">
      <c r="A30" s="9" t="s">
        <v>71</v>
      </c>
      <c r="B30" s="9">
        <v>29</v>
      </c>
      <c r="F30"/>
      <c r="G30" s="11">
        <v>8.4722222222222227E-2</v>
      </c>
    </row>
    <row r="31" spans="1:7" x14ac:dyDescent="0.2">
      <c r="A31" s="4" t="s">
        <v>84</v>
      </c>
      <c r="B31" s="9">
        <v>30</v>
      </c>
      <c r="F31"/>
      <c r="G31" s="11">
        <v>7.4305555555555555E-2</v>
      </c>
    </row>
    <row r="32" spans="1:7" x14ac:dyDescent="0.2">
      <c r="A32" s="4" t="s">
        <v>84</v>
      </c>
      <c r="B32" s="9">
        <v>31</v>
      </c>
      <c r="F32"/>
      <c r="G32" s="11">
        <v>6.3888888888888884E-2</v>
      </c>
    </row>
    <row r="33" spans="1:7" x14ac:dyDescent="0.2">
      <c r="A33" s="4" t="s">
        <v>84</v>
      </c>
      <c r="B33" s="9">
        <v>32</v>
      </c>
      <c r="F33"/>
      <c r="G33" s="11">
        <v>6.3194444444444442E-2</v>
      </c>
    </row>
    <row r="34" spans="1:7" x14ac:dyDescent="0.2">
      <c r="A34" s="4" t="s">
        <v>84</v>
      </c>
      <c r="B34" s="9">
        <v>33</v>
      </c>
      <c r="F34"/>
      <c r="G34" s="11">
        <v>7.8472222222222221E-2</v>
      </c>
    </row>
    <row r="35" spans="1:7" x14ac:dyDescent="0.2">
      <c r="A35" s="4" t="s">
        <v>84</v>
      </c>
      <c r="B35" s="9">
        <v>34</v>
      </c>
      <c r="F35"/>
      <c r="G35" s="11">
        <v>7.7777777777777779E-2</v>
      </c>
    </row>
    <row r="36" spans="1:7" x14ac:dyDescent="0.2">
      <c r="A36" s="4" t="s">
        <v>84</v>
      </c>
      <c r="B36" s="9">
        <v>35</v>
      </c>
      <c r="G36" s="12">
        <v>3.1944444444444442E-2</v>
      </c>
    </row>
    <row r="37" spans="1:7" x14ac:dyDescent="0.2">
      <c r="G37" s="12">
        <f>AVERAGE(G2:G36)</f>
        <v>7.6388888888888881E-2</v>
      </c>
    </row>
    <row r="38" spans="1:7" x14ac:dyDescent="0.2">
      <c r="G38" s="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53B7-A956-A749-9D6A-7686FAB4E023}">
  <dimension ref="A1:I30"/>
  <sheetViews>
    <sheetView tabSelected="1" workbookViewId="0">
      <selection activeCell="L6" sqref="L6"/>
    </sheetView>
  </sheetViews>
  <sheetFormatPr baseColWidth="10" defaultRowHeight="16" x14ac:dyDescent="0.2"/>
  <cols>
    <col min="1" max="1" width="38.5" customWidth="1"/>
  </cols>
  <sheetData>
    <row r="1" spans="1:6" x14ac:dyDescent="0.2">
      <c r="A1" s="10" t="s">
        <v>51</v>
      </c>
    </row>
    <row r="2" spans="1:6" x14ac:dyDescent="0.2">
      <c r="A2" s="7" t="s">
        <v>52</v>
      </c>
      <c r="B2">
        <v>50</v>
      </c>
    </row>
    <row r="3" spans="1:6" ht="18" x14ac:dyDescent="0.25">
      <c r="A3" s="7" t="s">
        <v>57</v>
      </c>
      <c r="B3">
        <v>4.8</v>
      </c>
    </row>
    <row r="4" spans="1:6" ht="18" x14ac:dyDescent="0.25">
      <c r="A4" s="7" t="s">
        <v>58</v>
      </c>
      <c r="B4">
        <v>4.4000000000000004</v>
      </c>
      <c r="E4" t="s">
        <v>56</v>
      </c>
      <c r="F4">
        <f>(B3-B5)*B12+(B4-B5)*B13</f>
        <v>21.000000000000007</v>
      </c>
    </row>
    <row r="5" spans="1:6" ht="18" x14ac:dyDescent="0.25">
      <c r="A5" s="7" t="s">
        <v>53</v>
      </c>
      <c r="B5" s="8">
        <v>4.3</v>
      </c>
      <c r="C5" s="8"/>
    </row>
    <row r="6" spans="1:6" ht="18" x14ac:dyDescent="0.25">
      <c r="A6" s="7" t="s">
        <v>54</v>
      </c>
      <c r="B6" s="8">
        <v>40</v>
      </c>
      <c r="C6" s="8"/>
    </row>
    <row r="7" spans="1:6" ht="18" x14ac:dyDescent="0.25">
      <c r="A7" s="7" t="s">
        <v>55</v>
      </c>
      <c r="B7" s="8">
        <v>50</v>
      </c>
      <c r="C7" s="8"/>
    </row>
    <row r="8" spans="1:6" ht="18" x14ac:dyDescent="0.25">
      <c r="A8" s="7" t="s">
        <v>60</v>
      </c>
      <c r="B8" s="8">
        <v>101</v>
      </c>
      <c r="C8" s="8"/>
    </row>
    <row r="9" spans="1:6" ht="18" x14ac:dyDescent="0.25">
      <c r="A9" s="7" t="s">
        <v>61</v>
      </c>
      <c r="B9" s="8">
        <v>110</v>
      </c>
      <c r="C9" s="8"/>
    </row>
    <row r="10" spans="1:6" x14ac:dyDescent="0.2">
      <c r="B10" s="8"/>
      <c r="C10" s="8"/>
    </row>
    <row r="11" spans="1:6" x14ac:dyDescent="0.2">
      <c r="A11" s="10" t="s">
        <v>50</v>
      </c>
      <c r="B11" s="8"/>
      <c r="C11" s="8"/>
    </row>
    <row r="12" spans="1:6" ht="18" x14ac:dyDescent="0.25">
      <c r="A12" s="7" t="s">
        <v>63</v>
      </c>
      <c r="B12" s="8">
        <v>40</v>
      </c>
      <c r="C12" s="8"/>
    </row>
    <row r="13" spans="1:6" ht="18" x14ac:dyDescent="0.25">
      <c r="A13" s="7" t="s">
        <v>64</v>
      </c>
      <c r="B13" s="8">
        <v>10</v>
      </c>
      <c r="C13" s="8"/>
    </row>
    <row r="14" spans="1:6" x14ac:dyDescent="0.2">
      <c r="A14" s="7" t="s">
        <v>65</v>
      </c>
      <c r="B14" s="8">
        <f>SUM(B12:B13)</f>
        <v>50</v>
      </c>
      <c r="C14" s="8"/>
    </row>
    <row r="15" spans="1:6" x14ac:dyDescent="0.2">
      <c r="B15" s="8"/>
      <c r="C15" s="8"/>
    </row>
    <row r="16" spans="1:6" x14ac:dyDescent="0.2">
      <c r="A16" t="s">
        <v>62</v>
      </c>
      <c r="B16" s="8">
        <f>B8*B12+B9*B13</f>
        <v>5140</v>
      </c>
      <c r="C16" s="8"/>
      <c r="F16" t="s">
        <v>59</v>
      </c>
    </row>
    <row r="17" spans="1:9" x14ac:dyDescent="0.2">
      <c r="B17" s="8"/>
      <c r="C17" s="8"/>
    </row>
    <row r="20" spans="1:9" x14ac:dyDescent="0.2">
      <c r="I20" s="7"/>
    </row>
    <row r="21" spans="1:9" x14ac:dyDescent="0.2">
      <c r="I21" s="8"/>
    </row>
    <row r="22" spans="1:9" x14ac:dyDescent="0.2">
      <c r="A22" s="7"/>
      <c r="I22" s="8"/>
    </row>
    <row r="23" spans="1:9" x14ac:dyDescent="0.2">
      <c r="A23" s="7"/>
    </row>
    <row r="24" spans="1:9" x14ac:dyDescent="0.2">
      <c r="A24" s="8"/>
    </row>
    <row r="26" spans="1:9" x14ac:dyDescent="0.2">
      <c r="A26" s="7"/>
      <c r="I26" s="7"/>
    </row>
    <row r="27" spans="1:9" ht="18" x14ac:dyDescent="0.25">
      <c r="A27" s="7"/>
      <c r="E27" t="s">
        <v>66</v>
      </c>
    </row>
    <row r="30" spans="1:9" ht="18" x14ac:dyDescent="0.25">
      <c r="E30" t="s">
        <v>67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Robot</vt:lpstr>
      <vt:lpstr>Human</vt:lpstr>
      <vt:lpstr>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 Choudhary</dc:creator>
  <cp:lastModifiedBy>Pragya Choudhary</cp:lastModifiedBy>
  <dcterms:created xsi:type="dcterms:W3CDTF">2025-11-21T00:18:50Z</dcterms:created>
  <dcterms:modified xsi:type="dcterms:W3CDTF">2025-12-11T02:58:23Z</dcterms:modified>
</cp:coreProperties>
</file>