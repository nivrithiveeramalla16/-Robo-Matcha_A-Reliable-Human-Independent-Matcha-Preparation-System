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clrCGIuTe1CGyK4NHlPD/yiLmionYBdpFTOh43Asufw="/>
    </ext>
  </extLst>
</workbook>
</file>

<file path=xl/sharedStrings.xml><?xml version="1.0" encoding="utf-8"?>
<sst xmlns="http://schemas.openxmlformats.org/spreadsheetml/2006/main" count="63" uniqueCount="55">
  <si>
    <t>Step</t>
  </si>
  <si>
    <t>Formula Only</t>
  </si>
  <si>
    <t>Variable Values</t>
  </si>
  <si>
    <t>Result (Calculated)</t>
  </si>
  <si>
    <t>Average cycle time</t>
  </si>
  <si>
    <t>t1=123s, t2=90s, t3=103s</t>
  </si>
  <si>
    <t>99.3 sec</t>
  </si>
  <si>
    <t>Cups per hour</t>
  </si>
  <si>
    <t>Cycle time=100 sec</t>
  </si>
  <si>
    <t>36 cups/hr</t>
  </si>
  <si>
    <t>Monthly cups</t>
  </si>
  <si>
    <t>36 cups/hr, 8hrs/day, 26 days</t>
  </si>
  <si>
    <t>7,488 cups</t>
  </si>
  <si>
    <t>Profit per cup</t>
  </si>
  <si>
    <t>Price=5.50, Cost=1.00</t>
  </si>
  <si>
    <t>$4.50</t>
  </si>
  <si>
    <t>Monthly gross profit</t>
  </si>
  <si>
    <t>7488 cups, 4.50 profit</t>
  </si>
  <si>
    <t>$33,696</t>
  </si>
  <si>
    <t>Net monthly value</t>
  </si>
  <si>
    <t>Maintenance = $250</t>
  </si>
  <si>
    <t>$33,446</t>
  </si>
  <si>
    <t>LTV</t>
  </si>
  <si>
    <t>96 months (8 years)</t>
  </si>
  <si>
    <t>$3,211,000</t>
  </si>
  <si>
    <t>CAC</t>
  </si>
  <si>
    <t>Robot, tooling, install etc.</t>
  </si>
  <si>
    <t>$60,000</t>
  </si>
  <si>
    <t>Break-even (months)</t>
  </si>
  <si>
    <t>CAC=60000, Net=33446</t>
  </si>
  <si>
    <t>1.79 months</t>
  </si>
  <si>
    <t>LTV:CAC Ratio</t>
  </si>
  <si>
    <t>LTV, CAC</t>
  </si>
  <si>
    <t>53.5</t>
  </si>
  <si>
    <t>Calculations</t>
  </si>
  <si>
    <t>UR10e Robot</t>
  </si>
  <si>
    <t>Human Worker (8-Year Tenure)</t>
  </si>
  <si>
    <t>24 cups/hr</t>
  </si>
  <si>
    <t>(36 x 8 x 26 = 7,488)</t>
  </si>
  <si>
    <t>(24 x 8 x 26 = 4,992)</t>
  </si>
  <si>
    <t>Monthly operating cost</t>
  </si>
  <si>
    <t>Wages = $4,992</t>
  </si>
  <si>
    <t>Tenure (months)</t>
  </si>
  <si>
    <t>96 months</t>
  </si>
  <si>
    <t>LTV (Lifetime Value)</t>
  </si>
  <si>
    <t>(33,446 x 96 = $3,211,000)</t>
  </si>
  <si>
    <t>(17,472 x 96 = $1,677,312)</t>
  </si>
  <si>
    <t>CAC (Acquisition Cost)</t>
  </si>
  <si>
    <t>$840 (hiring + onboarding)</t>
  </si>
  <si>
    <t>Break-even time</t>
  </si>
  <si>
    <t>(60,000 / 33,446 = 1.79) months</t>
  </si>
  <si>
    <r>
      <rPr>
        <rFont val="Aptos Narrow"/>
        <color theme="1"/>
        <sz val="12.0"/>
      </rPr>
      <t xml:space="preserve">(840 / 17,472 = 0.048) months ≈ </t>
    </r>
    <r>
      <rPr>
        <rFont val="Aptos Narrow"/>
        <b/>
        <color theme="1"/>
        <sz val="11.0"/>
      </rPr>
      <t>1.4 days</t>
    </r>
  </si>
  <si>
    <t>LTV : CAC Ratio</t>
  </si>
  <si>
    <t>(3,211,000 / 60,000 = 53.5)</t>
  </si>
  <si>
    <t>(1,677,312 / 840 ≈ 1,997)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</si>
</sst>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_);[Red]\(&quot;$&quot;#,##0.00\)"/>
    <numFmt numFmtId="165" formatCode="&quot;$&quot;#,##0_);[Red]\(&quot;$&quot;#,##0\)"/>
  </numFmts>
  <fonts count="5">
    <font>
      <sz val="12.0"/>
      <color theme="1"/>
      <name val="Aptos Narrow"/>
      <scheme val="minor"/>
    </font>
    <font>
      <b/>
      <sz val="11.0"/>
      <color theme="1"/>
      <name val="Aptos Narrow"/>
    </font>
    <font>
      <sz val="12.0"/>
      <color theme="1"/>
      <name val="Aptos Narrow"/>
    </font>
    <font>
      <color theme="1"/>
      <name val="Aptos Narrow"/>
      <scheme val="minor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</fills>
  <borders count="9">
    <border/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0" fontId="2" numFmtId="0" xfId="0" applyBorder="1" applyFont="1"/>
    <xf borderId="0" fillId="0" fontId="3" numFmtId="0" xfId="0" applyFont="1"/>
    <xf borderId="5" fillId="0" fontId="2" numFmtId="0" xfId="0" applyBorder="1" applyFont="1"/>
    <xf borderId="0" fillId="0" fontId="1" numFmtId="0" xfId="0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1" fillId="2" fontId="1" numFmtId="0" xfId="0" applyAlignment="1" applyBorder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5" fillId="0" fontId="2" numFmtId="0" xfId="0" applyAlignment="1" applyBorder="1" applyFont="1">
      <alignment horizontal="left"/>
    </xf>
    <xf borderId="0" fillId="0" fontId="2" numFmtId="164" xfId="0" applyAlignment="1" applyFont="1" applyNumberFormat="1">
      <alignment horizontal="left"/>
    </xf>
    <xf borderId="5" fillId="0" fontId="2" numFmtId="164" xfId="0" applyAlignment="1" applyBorder="1" applyFont="1" applyNumberFormat="1">
      <alignment horizontal="left"/>
    </xf>
    <xf borderId="0" fillId="0" fontId="2" numFmtId="165" xfId="0" applyAlignment="1" applyFont="1" applyNumberFormat="1">
      <alignment horizontal="left"/>
    </xf>
    <xf borderId="5" fillId="0" fontId="2" numFmtId="165" xfId="0" applyAlignment="1" applyBorder="1" applyFont="1" applyNumberFormat="1">
      <alignment horizontal="left"/>
    </xf>
    <xf borderId="0" fillId="0" fontId="1" numFmtId="165" xfId="0" applyAlignment="1" applyFont="1" applyNumberFormat="1">
      <alignment horizontal="left"/>
    </xf>
    <xf borderId="5" fillId="0" fontId="1" numFmtId="165" xfId="0" applyAlignment="1" applyBorder="1" applyFont="1" applyNumberFormat="1">
      <alignment horizontal="left"/>
    </xf>
    <xf borderId="0" fillId="0" fontId="4" numFmtId="0" xfId="0" applyAlignment="1" applyFont="1">
      <alignment horizontal="left" readingOrder="0"/>
    </xf>
    <xf borderId="5" fillId="0" fontId="4" numFmtId="0" xfId="0" applyAlignment="1" applyBorder="1" applyFont="1">
      <alignment horizontal="left" readingOrder="0"/>
    </xf>
    <xf borderId="6" fillId="0" fontId="1" numFmtId="0" xfId="0" applyAlignment="1" applyBorder="1" applyFont="1">
      <alignment horizontal="left"/>
    </xf>
    <xf borderId="7" fillId="0" fontId="4" numFmtId="0" xfId="0" applyAlignment="1" applyBorder="1" applyFont="1">
      <alignment horizontal="left" readingOrder="0"/>
    </xf>
    <xf borderId="8" fillId="0" fontId="2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3.67"/>
    <col customWidth="1" min="2" max="2" width="36.67"/>
    <col customWidth="1" min="3" max="3" width="34.11"/>
    <col customWidth="1" min="4" max="4" width="21.0"/>
    <col customWidth="1" min="5" max="26" width="8.78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5.75" customHeight="1">
      <c r="A2" s="4" t="s">
        <v>4</v>
      </c>
      <c r="B2" s="5">
        <f>(4*123 + 16*90 + 15*103)/35</f>
        <v>99.34285714</v>
      </c>
      <c r="C2" s="5" t="s">
        <v>5</v>
      </c>
      <c r="D2" s="6" t="s">
        <v>6</v>
      </c>
    </row>
    <row r="3" ht="15.75" customHeight="1">
      <c r="A3" s="4" t="s">
        <v>7</v>
      </c>
      <c r="B3" s="5">
        <f>3600/100</f>
        <v>36</v>
      </c>
      <c r="C3" s="5" t="s">
        <v>8</v>
      </c>
      <c r="D3" s="6" t="s">
        <v>9</v>
      </c>
      <c r="L3" s="7"/>
      <c r="M3" s="7"/>
    </row>
    <row r="4" ht="15.75" customHeight="1">
      <c r="A4" s="4" t="s">
        <v>10</v>
      </c>
      <c r="B4" s="5">
        <f>36*8*26</f>
        <v>7488</v>
      </c>
      <c r="C4" s="5" t="s">
        <v>11</v>
      </c>
      <c r="D4" s="6" t="s">
        <v>12</v>
      </c>
      <c r="L4" s="7"/>
    </row>
    <row r="5" ht="15.75" customHeight="1">
      <c r="A5" s="4" t="s">
        <v>13</v>
      </c>
      <c r="B5" s="5">
        <f>5.5-1</f>
        <v>4.5</v>
      </c>
      <c r="C5" s="5" t="s">
        <v>14</v>
      </c>
      <c r="D5" s="6" t="s">
        <v>15</v>
      </c>
      <c r="L5" s="7"/>
    </row>
    <row r="6" ht="15.75" customHeight="1">
      <c r="A6" s="4" t="s">
        <v>16</v>
      </c>
      <c r="B6" s="5">
        <f>7488*4.5</f>
        <v>33696</v>
      </c>
      <c r="C6" s="5" t="s">
        <v>17</v>
      </c>
      <c r="D6" s="6" t="s">
        <v>18</v>
      </c>
      <c r="L6" s="7"/>
    </row>
    <row r="7" ht="15.75" customHeight="1">
      <c r="A7" s="4" t="s">
        <v>19</v>
      </c>
      <c r="B7" s="5">
        <f>33696-250</f>
        <v>33446</v>
      </c>
      <c r="C7" s="5" t="s">
        <v>20</v>
      </c>
      <c r="D7" s="6" t="s">
        <v>21</v>
      </c>
      <c r="L7" s="7"/>
    </row>
    <row r="8" ht="15.75" customHeight="1">
      <c r="A8" s="4" t="s">
        <v>22</v>
      </c>
      <c r="B8" s="5">
        <f>33446*96</f>
        <v>3210816</v>
      </c>
      <c r="C8" s="5" t="s">
        <v>23</v>
      </c>
      <c r="D8" s="6" t="s">
        <v>24</v>
      </c>
      <c r="L8" s="7"/>
    </row>
    <row r="9" ht="15.75" customHeight="1">
      <c r="A9" s="4" t="s">
        <v>25</v>
      </c>
      <c r="B9" s="5">
        <f>45000+4000+2000+6000+3000</f>
        <v>60000</v>
      </c>
      <c r="C9" s="5" t="s">
        <v>26</v>
      </c>
      <c r="D9" s="6" t="s">
        <v>27</v>
      </c>
      <c r="L9" s="7"/>
    </row>
    <row r="10" ht="15.75" customHeight="1">
      <c r="A10" s="4" t="s">
        <v>28</v>
      </c>
      <c r="B10" s="5">
        <f>60000/33446</f>
        <v>1.793936495</v>
      </c>
      <c r="C10" s="5" t="s">
        <v>29</v>
      </c>
      <c r="D10" s="6" t="s">
        <v>30</v>
      </c>
      <c r="L10" s="7"/>
    </row>
    <row r="11" ht="15.75" customHeight="1">
      <c r="A11" s="8" t="s">
        <v>31</v>
      </c>
      <c r="B11" s="9">
        <f>3211000/60000</f>
        <v>53.51666667</v>
      </c>
      <c r="C11" s="9" t="s">
        <v>32</v>
      </c>
      <c r="D11" s="10" t="s">
        <v>33</v>
      </c>
      <c r="L11" s="7"/>
    </row>
    <row r="12" ht="15.75" customHeight="1">
      <c r="L12" s="7"/>
    </row>
    <row r="13" ht="15.75" customHeight="1">
      <c r="L13" s="7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A26" s="11" t="s">
        <v>34</v>
      </c>
      <c r="B26" s="12" t="s">
        <v>35</v>
      </c>
      <c r="C26" s="13" t="s">
        <v>36</v>
      </c>
    </row>
    <row r="27" ht="15.75" customHeight="1">
      <c r="A27" s="14" t="s">
        <v>7</v>
      </c>
      <c r="B27" s="15" t="s">
        <v>9</v>
      </c>
      <c r="C27" s="16" t="s">
        <v>37</v>
      </c>
    </row>
    <row r="28" ht="15.75" customHeight="1">
      <c r="A28" s="14" t="s">
        <v>10</v>
      </c>
      <c r="B28" s="15" t="s">
        <v>38</v>
      </c>
      <c r="C28" s="16" t="s">
        <v>39</v>
      </c>
    </row>
    <row r="29" ht="15.75" customHeight="1">
      <c r="A29" s="14" t="s">
        <v>13</v>
      </c>
      <c r="B29" s="17">
        <v>4.5</v>
      </c>
      <c r="C29" s="18">
        <v>4.5</v>
      </c>
    </row>
    <row r="30" ht="15.75" customHeight="1">
      <c r="A30" s="14" t="s">
        <v>16</v>
      </c>
      <c r="B30" s="19">
        <v>33696.0</v>
      </c>
      <c r="C30" s="20">
        <v>22464.0</v>
      </c>
    </row>
    <row r="31" ht="15.75" customHeight="1">
      <c r="A31" s="14" t="s">
        <v>40</v>
      </c>
      <c r="B31" s="15" t="s">
        <v>20</v>
      </c>
      <c r="C31" s="16" t="s">
        <v>41</v>
      </c>
    </row>
    <row r="32" ht="15.75" customHeight="1">
      <c r="A32" s="14" t="s">
        <v>19</v>
      </c>
      <c r="B32" s="21">
        <v>33446.0</v>
      </c>
      <c r="C32" s="22">
        <v>17472.0</v>
      </c>
    </row>
    <row r="33" ht="15.75" customHeight="1">
      <c r="A33" s="14" t="s">
        <v>42</v>
      </c>
      <c r="B33" s="15" t="s">
        <v>43</v>
      </c>
      <c r="C33" s="16" t="s">
        <v>43</v>
      </c>
    </row>
    <row r="34" ht="15.75" customHeight="1">
      <c r="A34" s="14" t="s">
        <v>44</v>
      </c>
      <c r="B34" s="23" t="s">
        <v>45</v>
      </c>
      <c r="C34" s="16" t="s">
        <v>46</v>
      </c>
    </row>
    <row r="35" ht="15.75" customHeight="1">
      <c r="A35" s="14" t="s">
        <v>47</v>
      </c>
      <c r="B35" s="19">
        <v>60000.0</v>
      </c>
      <c r="C35" s="24" t="s">
        <v>48</v>
      </c>
    </row>
    <row r="36" ht="15.75" customHeight="1">
      <c r="A36" s="14" t="s">
        <v>49</v>
      </c>
      <c r="B36" s="15" t="s">
        <v>50</v>
      </c>
      <c r="C36" s="16" t="s">
        <v>51</v>
      </c>
    </row>
    <row r="37" ht="15.75" customHeight="1">
      <c r="A37" s="25" t="s">
        <v>52</v>
      </c>
      <c r="B37" s="26" t="s">
        <v>53</v>
      </c>
      <c r="C37" s="27" t="s">
        <v>54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2025-12-13T23:01:30Z</dcterms:created>
  <dc:creator>Kritika Srivastava</dc:creator>
</cp:coreProperties>
</file>